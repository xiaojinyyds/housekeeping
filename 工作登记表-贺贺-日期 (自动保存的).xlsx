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0" windowWidth="19635" windowHeight="7695"/>
  </bookViews>
  <sheets>
    <sheet name="客户登记表" sheetId="1" r:id="rId1"/>
    <sheet name="阿姨登记表" sheetId="2" r:id="rId2"/>
    <sheet name="已面试客户登记表" sheetId="3" r:id="rId3"/>
    <sheet name="已签客户登记表" sheetId="4" r:id="rId4"/>
    <sheet name="备忘录" sheetId="6" r:id="rId5"/>
  </sheets>
  <definedNames>
    <definedName name="_xlnm._FilterDatabase" localSheetId="1" hidden="1">阿姨登记表!$A$1:$K$261</definedName>
    <definedName name="_xlnm._FilterDatabase" localSheetId="0" hidden="1">客户登记表!$A$1:$K$1</definedName>
    <definedName name="_xlnm._FilterDatabase" localSheetId="2" hidden="1">已面试客户登记表!$A$1:$L$1</definedName>
  </definedNames>
  <calcPr calcId="125725"/>
</workbook>
</file>

<file path=xl/calcChain.xml><?xml version="1.0" encoding="utf-8"?>
<calcChain xmlns="http://schemas.openxmlformats.org/spreadsheetml/2006/main">
  <c r="T13" i="4"/>
  <c r="R13"/>
  <c r="P13"/>
  <c r="R12"/>
  <c r="P12"/>
  <c r="T12"/>
  <c r="T11"/>
  <c r="R10"/>
  <c r="P10"/>
  <c r="T9"/>
  <c r="R9"/>
  <c r="P9"/>
  <c r="P8"/>
  <c r="T7"/>
  <c r="R7"/>
  <c r="P7"/>
  <c r="P6"/>
  <c r="T5"/>
  <c r="P5"/>
  <c r="T4"/>
  <c r="T3"/>
  <c r="T2"/>
  <c r="R4"/>
  <c r="P4"/>
  <c r="P2"/>
  <c r="P3"/>
  <c r="R3"/>
  <c r="R2"/>
</calcChain>
</file>

<file path=xl/comments1.xml><?xml version="1.0" encoding="utf-8"?>
<comments xmlns="http://schemas.openxmlformats.org/spreadsheetml/2006/main">
  <authors>
    <author>Administrator</author>
  </authors>
  <commentList>
    <comment ref="K11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12/15</t>
        </r>
        <r>
          <rPr>
            <sz val="9"/>
            <color indexed="81"/>
            <rFont val="宋体"/>
            <family val="3"/>
            <charset val="134"/>
          </rPr>
          <t>推钟艳</t>
        </r>
      </text>
    </comment>
    <comment ref="K34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12/12</t>
        </r>
        <r>
          <rPr>
            <sz val="9"/>
            <color indexed="81"/>
            <rFont val="宋体"/>
            <family val="3"/>
            <charset val="134"/>
          </rPr>
          <t>推程芬，鲜德蓉</t>
        </r>
      </text>
    </comment>
    <comment ref="K44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12/15</t>
        </r>
        <r>
          <rPr>
            <sz val="9"/>
            <color indexed="81"/>
            <rFont val="宋体"/>
            <family val="3"/>
            <charset val="134"/>
          </rPr>
          <t>推邓红霞</t>
        </r>
      </text>
    </comment>
  </commentList>
</comments>
</file>

<file path=xl/sharedStrings.xml><?xml version="1.0" encoding="utf-8"?>
<sst xmlns="http://schemas.openxmlformats.org/spreadsheetml/2006/main" count="4047" uniqueCount="2406">
  <si>
    <t>日期</t>
  </si>
  <si>
    <t>跟进人</t>
  </si>
  <si>
    <t>客户来源</t>
  </si>
  <si>
    <t>线索ID名称</t>
  </si>
  <si>
    <t>线索类别</t>
  </si>
  <si>
    <t>订单类型</t>
  </si>
  <si>
    <t>客户称呼</t>
  </si>
  <si>
    <t>联系方式</t>
  </si>
  <si>
    <t>需求地址</t>
  </si>
  <si>
    <t>订单详情</t>
  </si>
  <si>
    <t>备注</t>
  </si>
  <si>
    <t>记录人</t>
  </si>
  <si>
    <t>阿姨姓名</t>
  </si>
  <si>
    <t>性别</t>
  </si>
  <si>
    <t>年龄</t>
  </si>
  <si>
    <t>住址</t>
  </si>
  <si>
    <t>电话</t>
  </si>
  <si>
    <t>是否等待接单</t>
  </si>
  <si>
    <t>接单类型</t>
  </si>
  <si>
    <t>匹配阿姨姓名</t>
  </si>
  <si>
    <t>阿姨电话</t>
  </si>
  <si>
    <t>面试情况</t>
  </si>
  <si>
    <t>签约时间</t>
  </si>
  <si>
    <t>客户姓名</t>
  </si>
  <si>
    <t>客户电话</t>
  </si>
  <si>
    <t>服务地址</t>
  </si>
  <si>
    <t>需求</t>
  </si>
  <si>
    <t>上户时间</t>
  </si>
  <si>
    <t>到期日期</t>
  </si>
  <si>
    <t>电话号码</t>
  </si>
  <si>
    <t>回访1</t>
  </si>
  <si>
    <t>回访7</t>
  </si>
  <si>
    <t>回访30</t>
  </si>
  <si>
    <t>售后换人</t>
  </si>
  <si>
    <t>签单金额</t>
  </si>
  <si>
    <t>实际收款</t>
  </si>
  <si>
    <t>阿姨工资</t>
  </si>
  <si>
    <t>服务费</t>
  </si>
  <si>
    <t>折扣</t>
  </si>
  <si>
    <t>经纪人</t>
  </si>
  <si>
    <t>转介绍费</t>
  </si>
  <si>
    <t>凡凡</t>
    <phoneticPr fontId="2" type="noConversion"/>
  </si>
  <si>
    <t>詹小莉</t>
    <phoneticPr fontId="2" type="noConversion"/>
  </si>
  <si>
    <t>女</t>
    <phoneticPr fontId="2" type="noConversion"/>
  </si>
  <si>
    <t>园艺山</t>
    <phoneticPr fontId="2" type="noConversion"/>
  </si>
  <si>
    <t>是</t>
    <phoneticPr fontId="2" type="noConversion"/>
  </si>
  <si>
    <t>医院护工、育儿嫂</t>
    <phoneticPr fontId="2" type="noConversion"/>
  </si>
  <si>
    <r>
      <t>月嫂 育儿嫂</t>
    </r>
    <r>
      <rPr>
        <sz val="11"/>
        <color theme="1"/>
        <rFont val="宋体"/>
        <family val="3"/>
        <charset val="134"/>
        <scheme val="minor"/>
      </rPr>
      <t xml:space="preserve"> 照顾老人</t>
    </r>
    <phoneticPr fontId="2" type="noConversion"/>
  </si>
  <si>
    <t xml:space="preserve">倾向于短期几个月的 </t>
    <phoneticPr fontId="2" type="noConversion"/>
  </si>
  <si>
    <t>梁荣华</t>
    <phoneticPr fontId="2" type="noConversion"/>
  </si>
  <si>
    <t>否</t>
    <phoneticPr fontId="2" type="noConversion"/>
  </si>
  <si>
    <t>月嫂</t>
    <phoneticPr fontId="2" type="noConversion"/>
  </si>
  <si>
    <t>陈太珍</t>
    <phoneticPr fontId="2" type="noConversion"/>
  </si>
  <si>
    <t>最近不接单</t>
    <phoneticPr fontId="2" type="noConversion"/>
  </si>
  <si>
    <t>备注</t>
    <phoneticPr fontId="2" type="noConversion"/>
  </si>
  <si>
    <t>梓潼和江油</t>
  </si>
  <si>
    <t>白班保姆</t>
    <phoneticPr fontId="2" type="noConversion"/>
  </si>
  <si>
    <t>张阿姨</t>
    <phoneticPr fontId="2" type="noConversion"/>
  </si>
  <si>
    <t>陈有清</t>
    <phoneticPr fontId="2" type="noConversion"/>
  </si>
  <si>
    <t>住家保姆</t>
    <phoneticPr fontId="2" type="noConversion"/>
  </si>
  <si>
    <t>布鲁斯附近</t>
    <phoneticPr fontId="2" type="noConversion"/>
  </si>
  <si>
    <t>王海平</t>
    <phoneticPr fontId="2" type="noConversion"/>
  </si>
  <si>
    <t>平武</t>
    <phoneticPr fontId="2" type="noConversion"/>
  </si>
  <si>
    <t>否</t>
    <phoneticPr fontId="2" type="noConversion"/>
  </si>
  <si>
    <t>住家保姆</t>
    <phoneticPr fontId="2" type="noConversion"/>
  </si>
  <si>
    <r>
      <t>自己家里也有人开家政公司 目前上户中</t>
    </r>
    <r>
      <rPr>
        <sz val="11"/>
        <color theme="1"/>
        <rFont val="宋体"/>
        <family val="3"/>
        <charset val="134"/>
        <scheme val="minor"/>
      </rPr>
      <t xml:space="preserve"> 具体做多久不知道 加微信资源</t>
    </r>
    <phoneticPr fontId="2" type="noConversion"/>
  </si>
  <si>
    <t>女</t>
    <phoneticPr fontId="2" type="noConversion"/>
  </si>
  <si>
    <t>是</t>
    <phoneticPr fontId="2" type="noConversion"/>
  </si>
  <si>
    <t>白班保姆</t>
    <phoneticPr fontId="2" type="noConversion"/>
  </si>
  <si>
    <t>鲁明月</t>
    <phoneticPr fontId="2" type="noConversion"/>
  </si>
  <si>
    <r>
      <t>5</t>
    </r>
    <r>
      <rPr>
        <sz val="11"/>
        <color theme="1"/>
        <rFont val="宋体"/>
        <family val="3"/>
        <charset val="134"/>
        <scheme val="minor"/>
      </rPr>
      <t>9实际年龄57</t>
    </r>
    <phoneticPr fontId="2" type="noConversion"/>
  </si>
  <si>
    <t>绵阳</t>
    <phoneticPr fontId="2" type="noConversion"/>
  </si>
  <si>
    <t>唐道碧</t>
    <phoneticPr fontId="2" type="noConversion"/>
  </si>
  <si>
    <r>
      <t>做饭照顾自理 不能自理老人都可以</t>
    </r>
    <r>
      <rPr>
        <sz val="11"/>
        <color theme="1"/>
        <rFont val="宋体"/>
        <family val="3"/>
        <charset val="134"/>
        <scheme val="minor"/>
      </rPr>
      <t xml:space="preserve"> 6年工作经验 现在在成都 5.6号可以到岗</t>
    </r>
    <phoneticPr fontId="2" type="noConversion"/>
  </si>
  <si>
    <t>伍明莲</t>
    <phoneticPr fontId="2" type="noConversion"/>
  </si>
  <si>
    <t>泸州</t>
    <phoneticPr fontId="2" type="noConversion"/>
  </si>
  <si>
    <t>绵阳</t>
    <phoneticPr fontId="2" type="noConversion"/>
  </si>
  <si>
    <t xml:space="preserve">住绵阳安州女儿家，阿姨有照顾过一年左右的老人 会煮饭 人态度积极 不事多 </t>
    <phoneticPr fontId="2" type="noConversion"/>
  </si>
  <si>
    <t>邓辉容</t>
    <phoneticPr fontId="2" type="noConversion"/>
  </si>
  <si>
    <t>有体检报告 在富乐车站铁路上干零活，另一个号：15228714568 想找份住家阿姨工作</t>
    <phoneticPr fontId="2" type="noConversion"/>
  </si>
  <si>
    <t>代琼华</t>
    <phoneticPr fontId="2" type="noConversion"/>
  </si>
  <si>
    <t>女</t>
    <phoneticPr fontId="2" type="noConversion"/>
  </si>
  <si>
    <t>是</t>
    <phoneticPr fontId="2" type="noConversion"/>
  </si>
  <si>
    <t>住家保姆</t>
    <phoneticPr fontId="2" type="noConversion"/>
  </si>
  <si>
    <t>苏阿姨</t>
    <phoneticPr fontId="2" type="noConversion"/>
  </si>
  <si>
    <t>照顾过自家老人 给老人煮饭 打扫卫生没问题</t>
    <phoneticPr fontId="2" type="noConversion"/>
  </si>
  <si>
    <t>江油</t>
    <phoneticPr fontId="2" type="noConversion"/>
  </si>
  <si>
    <t>护工</t>
    <phoneticPr fontId="2" type="noConversion"/>
  </si>
  <si>
    <t>平武</t>
    <phoneticPr fontId="2" type="noConversion"/>
  </si>
  <si>
    <t>马玉兰</t>
    <phoneticPr fontId="2" type="noConversion"/>
  </si>
  <si>
    <t>否</t>
    <phoneticPr fontId="2" type="noConversion"/>
  </si>
  <si>
    <t>鲁琴 很挑单子 煮饭打扫卫生没问题 自理老人也愿意照顾 不住家 不太想照顾不能自理老人 目前不想做</t>
    <phoneticPr fontId="2" type="noConversion"/>
  </si>
  <si>
    <t>赵清会</t>
    <phoneticPr fontId="2" type="noConversion"/>
  </si>
  <si>
    <t>否</t>
    <phoneticPr fontId="2" type="noConversion"/>
  </si>
  <si>
    <t>照顾老人煮饭都可以 只是年前都不接单 照顾自己家孙子</t>
    <phoneticPr fontId="2" type="noConversion"/>
  </si>
  <si>
    <t>女</t>
    <phoneticPr fontId="2" type="noConversion"/>
  </si>
  <si>
    <t>优点干活麻利，显年轻，学过还没有实际上手过，愿意现学，不喜欢煮饭打扫卫生</t>
    <phoneticPr fontId="2" type="noConversion"/>
  </si>
  <si>
    <r>
      <t>富临山庄上户中</t>
    </r>
    <r>
      <rPr>
        <sz val="11"/>
        <color theme="1"/>
        <rFont val="宋体"/>
        <family val="3"/>
        <charset val="134"/>
        <scheme val="minor"/>
      </rPr>
      <t xml:space="preserve"> 不喜欢带娃娃 老人事不多也可以接 不住家 家常菜都可以做 </t>
    </r>
    <r>
      <rPr>
        <sz val="11"/>
        <color theme="1"/>
        <rFont val="宋体"/>
        <charset val="134"/>
        <scheme val="minor"/>
      </rPr>
      <t xml:space="preserve"> </t>
    </r>
    <phoneticPr fontId="2" type="noConversion"/>
  </si>
  <si>
    <r>
      <t>煮饭2</t>
    </r>
    <r>
      <rPr>
        <sz val="11"/>
        <color theme="1"/>
        <rFont val="宋体"/>
        <family val="3"/>
        <charset val="134"/>
        <scheme val="minor"/>
      </rPr>
      <t>-3个人可以 人多不想做 有自理或者卧床老人都能照顾 基本煮饭打扫卫生都没问题</t>
    </r>
    <phoneticPr fontId="2" type="noConversion"/>
  </si>
  <si>
    <t>住家育儿嫂</t>
  </si>
  <si>
    <t>赵艳</t>
    <phoneticPr fontId="2" type="noConversion"/>
  </si>
  <si>
    <t>绵阳</t>
    <phoneticPr fontId="2" type="noConversion"/>
  </si>
  <si>
    <t>是</t>
    <phoneticPr fontId="2" type="noConversion"/>
  </si>
  <si>
    <t>有育婴师培训证 体检报告 可接单</t>
    <phoneticPr fontId="2" type="noConversion"/>
  </si>
  <si>
    <t>欧青艳</t>
  </si>
  <si>
    <t>永兴</t>
    <phoneticPr fontId="2" type="noConversion"/>
  </si>
  <si>
    <t>白班钟点工</t>
    <phoneticPr fontId="2" type="noConversion"/>
  </si>
  <si>
    <t>可接单</t>
    <phoneticPr fontId="2" type="noConversion"/>
  </si>
  <si>
    <t>钟点工</t>
    <phoneticPr fontId="2" type="noConversion"/>
  </si>
  <si>
    <t>杨成明</t>
    <phoneticPr fontId="2" type="noConversion"/>
  </si>
  <si>
    <t>马玉相</t>
    <phoneticPr fontId="2" type="noConversion"/>
  </si>
  <si>
    <t>住家保姆</t>
    <phoneticPr fontId="2" type="noConversion"/>
  </si>
  <si>
    <t>白班</t>
    <phoneticPr fontId="2" type="noConversion"/>
  </si>
  <si>
    <t>住家</t>
    <phoneticPr fontId="2" type="noConversion"/>
  </si>
  <si>
    <t>目前在厂里上班，要到12月底还上不上班才有结果，自己买了个车刚在练手</t>
    <phoneticPr fontId="2" type="noConversion"/>
  </si>
  <si>
    <t>否</t>
    <phoneticPr fontId="2" type="noConversion"/>
  </si>
  <si>
    <t>男</t>
    <phoneticPr fontId="2" type="noConversion"/>
  </si>
  <si>
    <t>邓香丽</t>
    <phoneticPr fontId="2" type="noConversion"/>
  </si>
  <si>
    <t>女</t>
    <phoneticPr fontId="2" type="noConversion"/>
  </si>
  <si>
    <t>平武</t>
    <phoneticPr fontId="2" type="noConversion"/>
  </si>
  <si>
    <t>是</t>
    <phoneticPr fontId="2" type="noConversion"/>
  </si>
  <si>
    <t>曹小红</t>
    <phoneticPr fontId="2" type="noConversion"/>
  </si>
  <si>
    <t>梓潼</t>
    <phoneticPr fontId="2" type="noConversion"/>
  </si>
  <si>
    <t>下户中 可接单 有体检报告 照顾自理老人 几个月的 一岁的</t>
    <phoneticPr fontId="2" type="noConversion"/>
  </si>
  <si>
    <t xml:space="preserve">微信加不了 阿姨在平武医院当过护工 服侍的老人多 没的体检报告 </t>
    <phoneticPr fontId="2" type="noConversion"/>
  </si>
  <si>
    <t>白班保姆</t>
    <phoneticPr fontId="2" type="noConversion"/>
  </si>
  <si>
    <t>王昭</t>
    <phoneticPr fontId="2" type="noConversion"/>
  </si>
  <si>
    <t>三台芦溪</t>
    <phoneticPr fontId="2" type="noConversion"/>
  </si>
  <si>
    <t>白班时间长点 工资搞得 没上户 可接单</t>
    <phoneticPr fontId="2" type="noConversion"/>
  </si>
  <si>
    <t>白光翠</t>
    <phoneticPr fontId="2" type="noConversion"/>
  </si>
  <si>
    <t>李复珍</t>
  </si>
  <si>
    <t>三台观桥镇</t>
    <phoneticPr fontId="2" type="noConversion"/>
  </si>
  <si>
    <t>26年2月10日下户</t>
    <phoneticPr fontId="2" type="noConversion"/>
  </si>
  <si>
    <t>王建华</t>
    <phoneticPr fontId="2" type="noConversion"/>
  </si>
  <si>
    <t>钟点工</t>
    <phoneticPr fontId="2" type="noConversion"/>
  </si>
  <si>
    <r>
      <t>有健康证 想做钟点工单子</t>
    </r>
    <r>
      <rPr>
        <sz val="11"/>
        <color theme="1"/>
        <rFont val="宋体"/>
        <family val="3"/>
        <charset val="134"/>
        <scheme val="minor"/>
      </rPr>
      <t xml:space="preserve"> 不想接老人单子</t>
    </r>
    <phoneticPr fontId="2" type="noConversion"/>
  </si>
  <si>
    <t>三台潼川</t>
    <phoneticPr fontId="2" type="noConversion"/>
  </si>
  <si>
    <t>绵阳</t>
    <phoneticPr fontId="2" type="noConversion"/>
  </si>
  <si>
    <t>李姐</t>
    <phoneticPr fontId="2" type="noConversion"/>
  </si>
  <si>
    <t>是</t>
    <phoneticPr fontId="2" type="noConversion"/>
  </si>
  <si>
    <t>煮饭打扫卫生都可以 246不接 1357接单白班都行</t>
    <phoneticPr fontId="2" type="noConversion"/>
  </si>
  <si>
    <t>绵阳涪城</t>
    <phoneticPr fontId="2" type="noConversion"/>
  </si>
  <si>
    <t>黄英</t>
    <phoneticPr fontId="2" type="noConversion"/>
  </si>
  <si>
    <t>住家保姆</t>
    <phoneticPr fontId="2" type="noConversion"/>
  </si>
  <si>
    <t>汪先全</t>
    <phoneticPr fontId="2" type="noConversion"/>
  </si>
  <si>
    <t>否</t>
    <phoneticPr fontId="2" type="noConversion"/>
  </si>
  <si>
    <t>有十几年驾照经验 自己进的货先卖完着 明年再接单</t>
    <phoneticPr fontId="2" type="noConversion"/>
  </si>
  <si>
    <t>男</t>
    <phoneticPr fontId="2" type="noConversion"/>
  </si>
  <si>
    <t>50多</t>
    <phoneticPr fontId="2" type="noConversion"/>
  </si>
  <si>
    <t>江油</t>
    <phoneticPr fontId="2" type="noConversion"/>
  </si>
  <si>
    <t>高阿姨</t>
    <phoneticPr fontId="2" type="noConversion"/>
  </si>
  <si>
    <t>女</t>
    <phoneticPr fontId="2" type="noConversion"/>
  </si>
  <si>
    <t>园艺山</t>
    <phoneticPr fontId="2" type="noConversion"/>
  </si>
  <si>
    <t>育儿嫂</t>
    <phoneticPr fontId="2" type="noConversion"/>
  </si>
  <si>
    <t>在幼儿园做过两年生活老师，几个月一两岁大点都可以接单</t>
    <phoneticPr fontId="2" type="noConversion"/>
  </si>
  <si>
    <t>唐明娥</t>
    <phoneticPr fontId="2" type="noConversion"/>
  </si>
  <si>
    <t>陈晓霞</t>
    <phoneticPr fontId="2" type="noConversion"/>
  </si>
  <si>
    <t>科园小区</t>
    <phoneticPr fontId="2" type="noConversion"/>
  </si>
  <si>
    <t>接单了 明天上户 可以接送娃娃上下学 有经验</t>
    <phoneticPr fontId="2" type="noConversion"/>
  </si>
  <si>
    <t>贾玉春</t>
    <phoneticPr fontId="2" type="noConversion"/>
  </si>
  <si>
    <t>长虹职业技术学校</t>
    <phoneticPr fontId="2" type="noConversion"/>
  </si>
  <si>
    <t>在上户中</t>
    <phoneticPr fontId="2" type="noConversion"/>
  </si>
  <si>
    <t>杨秀兰</t>
    <phoneticPr fontId="2" type="noConversion"/>
  </si>
  <si>
    <t>梓潼</t>
    <phoneticPr fontId="2" type="noConversion"/>
  </si>
  <si>
    <t>暂时不接单 家里有事</t>
  </si>
  <si>
    <t>游仙区</t>
    <phoneticPr fontId="2" type="noConversion"/>
  </si>
  <si>
    <t>姚翠</t>
    <phoneticPr fontId="2" type="noConversion"/>
  </si>
  <si>
    <t>有事 不接单</t>
    <phoneticPr fontId="2" type="noConversion"/>
  </si>
  <si>
    <t>伍叔</t>
    <phoneticPr fontId="2" type="noConversion"/>
  </si>
  <si>
    <t>是</t>
    <phoneticPr fontId="2" type="noConversion"/>
  </si>
  <si>
    <t>护工</t>
    <phoneticPr fontId="2" type="noConversion"/>
  </si>
  <si>
    <t>没体检 想接单</t>
    <phoneticPr fontId="2" type="noConversion"/>
  </si>
  <si>
    <t>男</t>
    <phoneticPr fontId="2" type="noConversion"/>
  </si>
  <si>
    <t>田蓉</t>
  </si>
  <si>
    <t>住家养护</t>
  </si>
  <si>
    <t>无证，之前在北京做家政10多年</t>
  </si>
  <si>
    <t>绵阳</t>
    <phoneticPr fontId="2" type="noConversion"/>
  </si>
  <si>
    <t>女</t>
    <phoneticPr fontId="2" type="noConversion"/>
  </si>
  <si>
    <t>贾桂英</t>
    <phoneticPr fontId="2" type="noConversion"/>
  </si>
  <si>
    <t>住家育儿嫂</t>
    <phoneticPr fontId="2" type="noConversion"/>
  </si>
  <si>
    <t>6000以上接单</t>
    <phoneticPr fontId="2" type="noConversion"/>
  </si>
  <si>
    <t>钟点工</t>
    <phoneticPr fontId="2" type="noConversion"/>
  </si>
  <si>
    <t>唐翠明</t>
    <phoneticPr fontId="2" type="noConversion"/>
  </si>
  <si>
    <t>女</t>
    <phoneticPr fontId="2" type="noConversion"/>
  </si>
  <si>
    <t>金柱园</t>
  </si>
  <si>
    <t>是</t>
    <phoneticPr fontId="2" type="noConversion"/>
  </si>
  <si>
    <t>有体检报告 做饭很不错 打扫卫生</t>
    <phoneticPr fontId="2" type="noConversion"/>
  </si>
  <si>
    <t>陈晓燕</t>
  </si>
  <si>
    <t>否</t>
    <phoneticPr fontId="2" type="noConversion"/>
  </si>
  <si>
    <t>园艺山</t>
    <phoneticPr fontId="2" type="noConversion"/>
  </si>
  <si>
    <t>只煮饭5-9点，乡下 照顾女儿 刚生 出月子再说</t>
    <phoneticPr fontId="2" type="noConversion"/>
  </si>
  <si>
    <t>谢邹华</t>
  </si>
  <si>
    <t>育儿嫂</t>
    <phoneticPr fontId="2" type="noConversion"/>
  </si>
  <si>
    <t>经开区玫瑰花城</t>
    <phoneticPr fontId="2" type="noConversion"/>
  </si>
  <si>
    <t>4年 育儿嫂接不限年纪的 最好接白天钟点工2个小时</t>
    <phoneticPr fontId="2" type="noConversion"/>
  </si>
  <si>
    <t>住家保姆</t>
    <phoneticPr fontId="2" type="noConversion"/>
  </si>
  <si>
    <t>西科大东门</t>
    <phoneticPr fontId="2" type="noConversion"/>
  </si>
  <si>
    <t>3年 白班住家都可以</t>
    <phoneticPr fontId="2" type="noConversion"/>
  </si>
  <si>
    <t>卫全华</t>
    <phoneticPr fontId="2" type="noConversion"/>
  </si>
  <si>
    <t>赵惠</t>
  </si>
  <si>
    <t>城市学院</t>
    <phoneticPr fontId="2" type="noConversion"/>
  </si>
  <si>
    <t>上户中 白班育儿 住家</t>
    <phoneticPr fontId="2" type="noConversion"/>
  </si>
  <si>
    <t>周春容</t>
  </si>
  <si>
    <t>交警4大队</t>
    <phoneticPr fontId="2" type="noConversion"/>
  </si>
  <si>
    <t>罗翠华</t>
  </si>
  <si>
    <t>五一广场</t>
    <phoneticPr fontId="2" type="noConversion"/>
  </si>
  <si>
    <t>接几个月的宝宝 腰不好</t>
    <phoneticPr fontId="2" type="noConversion"/>
  </si>
  <si>
    <t>主要想接白班</t>
    <phoneticPr fontId="2" type="noConversion"/>
  </si>
  <si>
    <t>李会英</t>
  </si>
  <si>
    <t>红星小区</t>
    <phoneticPr fontId="2" type="noConversion"/>
  </si>
  <si>
    <t>王家山隧道 阿姨的妈妈腰摔伤了 暂时不接单</t>
    <phoneticPr fontId="2" type="noConversion"/>
  </si>
  <si>
    <t>田孝芳</t>
  </si>
  <si>
    <t>育儿住家</t>
    <phoneticPr fontId="2" type="noConversion"/>
  </si>
  <si>
    <t>三台</t>
    <phoneticPr fontId="2" type="noConversion"/>
  </si>
  <si>
    <t>上户中 住家 育儿都可以</t>
    <phoneticPr fontId="2" type="noConversion"/>
  </si>
  <si>
    <t>张馨</t>
  </si>
  <si>
    <t>年前接白班</t>
    <phoneticPr fontId="2" type="noConversion"/>
  </si>
  <si>
    <t>是</t>
    <phoneticPr fontId="2" type="noConversion"/>
  </si>
  <si>
    <t>白班保姆</t>
    <phoneticPr fontId="2" type="noConversion"/>
  </si>
  <si>
    <t>石桥铺</t>
    <phoneticPr fontId="2" type="noConversion"/>
  </si>
  <si>
    <t>女</t>
    <phoneticPr fontId="2" type="noConversion"/>
  </si>
  <si>
    <t>张道强</t>
  </si>
  <si>
    <t>护工</t>
    <phoneticPr fontId="2" type="noConversion"/>
  </si>
  <si>
    <t>男</t>
    <phoneticPr fontId="2" type="noConversion"/>
  </si>
  <si>
    <t>王丽</t>
  </si>
  <si>
    <t>双碑</t>
    <phoneticPr fontId="2" type="noConversion"/>
  </si>
  <si>
    <t>白班保姆 白班育儿</t>
  </si>
  <si>
    <t>可以接单</t>
    <phoneticPr fontId="2" type="noConversion"/>
  </si>
  <si>
    <t>雍爱华</t>
  </si>
  <si>
    <t>护工（有证）13689682467 有简历</t>
    <phoneticPr fontId="2" type="noConversion"/>
  </si>
  <si>
    <t>家电城</t>
  </si>
  <si>
    <t>游仙</t>
    <phoneticPr fontId="2" type="noConversion"/>
  </si>
  <si>
    <t>钟点工</t>
    <phoneticPr fontId="2" type="noConversion"/>
  </si>
  <si>
    <t>曹华珍</t>
    <phoneticPr fontId="2" type="noConversion"/>
  </si>
  <si>
    <t>女</t>
    <phoneticPr fontId="2" type="noConversion"/>
  </si>
  <si>
    <t>青义</t>
    <phoneticPr fontId="2" type="noConversion"/>
  </si>
  <si>
    <t>是</t>
    <phoneticPr fontId="2" type="noConversion"/>
  </si>
  <si>
    <t>白班保姆 白班2年，只是没培训，在你们公司培训了3天  家住龙门，有青义，龙门，高水</t>
    <phoneticPr fontId="2" type="noConversion"/>
  </si>
  <si>
    <t>住家养老</t>
    <phoneticPr fontId="2" type="noConversion"/>
  </si>
  <si>
    <t>李媛丽</t>
  </si>
  <si>
    <t>可以接单 没简历</t>
    <phoneticPr fontId="2" type="noConversion"/>
  </si>
  <si>
    <t>陈桂英</t>
  </si>
  <si>
    <t>江油</t>
    <phoneticPr fontId="2" type="noConversion"/>
  </si>
  <si>
    <t>住家保姆</t>
    <phoneticPr fontId="2" type="noConversion"/>
  </si>
  <si>
    <r>
      <t>有简历 空白</t>
    </r>
    <r>
      <rPr>
        <sz val="11"/>
        <color theme="1"/>
        <rFont val="宋体"/>
        <family val="3"/>
        <charset val="134"/>
        <scheme val="minor"/>
      </rPr>
      <t xml:space="preserve"> 无资料</t>
    </r>
    <phoneticPr fontId="2" type="noConversion"/>
  </si>
  <si>
    <t>黄加琼</t>
  </si>
  <si>
    <r>
      <t>有体检 老人小孩都可以</t>
    </r>
    <r>
      <rPr>
        <sz val="11"/>
        <color theme="1"/>
        <rFont val="宋体"/>
        <family val="3"/>
        <charset val="134"/>
        <scheme val="minor"/>
      </rPr>
      <t xml:space="preserve"> 简历不是很丰富</t>
    </r>
    <phoneticPr fontId="2" type="noConversion"/>
  </si>
  <si>
    <t>新皂</t>
    <phoneticPr fontId="2" type="noConversion"/>
  </si>
  <si>
    <t>黄天琼</t>
  </si>
  <si>
    <t>住家 育儿嫂</t>
    <phoneticPr fontId="2" type="noConversion"/>
  </si>
  <si>
    <t>花荄</t>
    <phoneticPr fontId="2" type="noConversion"/>
  </si>
  <si>
    <r>
      <t>4年</t>
    </r>
    <r>
      <rPr>
        <sz val="11"/>
        <color theme="1"/>
        <rFont val="宋体"/>
        <family val="3"/>
        <charset val="134"/>
        <scheme val="minor"/>
      </rPr>
      <t>经验 几个月一岁多宝宝都带过 简历上有三个宝宝经验</t>
    </r>
    <phoneticPr fontId="2" type="noConversion"/>
  </si>
  <si>
    <t>九州又一城</t>
    <phoneticPr fontId="2" type="noConversion"/>
  </si>
  <si>
    <t>是</t>
    <phoneticPr fontId="2" type="noConversion"/>
  </si>
  <si>
    <t>白班阿姨</t>
    <phoneticPr fontId="2" type="noConversion"/>
  </si>
  <si>
    <t>蒋成蓉</t>
    <phoneticPr fontId="2" type="noConversion"/>
  </si>
  <si>
    <t>女</t>
    <phoneticPr fontId="2" type="noConversion"/>
  </si>
  <si>
    <t>接月宝 自己腰不好 一岁多不接 月底接单</t>
    <phoneticPr fontId="2" type="noConversion"/>
  </si>
  <si>
    <t>绵阳</t>
    <phoneticPr fontId="2" type="noConversion"/>
  </si>
  <si>
    <t>做护理工作很有经验，主要是照顾老人，有爱心有责任心，做饭，眼里有活，客户评价很高</t>
    <phoneticPr fontId="2" type="noConversion"/>
  </si>
  <si>
    <t>4年经验 老人孩子家务做饭 想换个活路，园艺山这家不好侍候</t>
    <phoneticPr fontId="2" type="noConversion"/>
  </si>
  <si>
    <t>上户中 在酒店餐厅给客人做过饭，煮饭好吃，可以根据客户爱好煮 没接过单 注册阿姨</t>
    <phoneticPr fontId="2" type="noConversion"/>
  </si>
  <si>
    <t>王静</t>
    <phoneticPr fontId="2" type="noConversion"/>
  </si>
  <si>
    <t>否</t>
    <phoneticPr fontId="2" type="noConversion"/>
  </si>
  <si>
    <t>住家保姆</t>
    <phoneticPr fontId="2" type="noConversion"/>
  </si>
  <si>
    <t>不太想煮饭，尽量找带娃娃的工作，1-3岁，两岁多的也带过</t>
    <phoneticPr fontId="2" type="noConversion"/>
  </si>
  <si>
    <t>康华</t>
    <phoneticPr fontId="2" type="noConversion"/>
  </si>
  <si>
    <t>15811287468 微信号：在北京养老院食堂工作13年，煮饭，带小孩，家务都可以 上户中</t>
    <phoneticPr fontId="2" type="noConversion"/>
  </si>
  <si>
    <t>王雪春</t>
  </si>
  <si>
    <t>内江</t>
    <phoneticPr fontId="2" type="noConversion"/>
  </si>
  <si>
    <t>唐升分</t>
    <phoneticPr fontId="2" type="noConversion"/>
  </si>
  <si>
    <t>工资希望六千以上 阿姨会做面食包子饺子饼擀面条，川菜做的好，带娃娃可以做学习规划，娃娃一到六年的的都可以带</t>
    <phoneticPr fontId="2" type="noConversion"/>
  </si>
  <si>
    <t>樊群章</t>
    <phoneticPr fontId="2" type="noConversion"/>
  </si>
  <si>
    <t>男</t>
    <phoneticPr fontId="2" type="noConversion"/>
  </si>
  <si>
    <t>铂金华府</t>
    <phoneticPr fontId="2" type="noConversion"/>
  </si>
  <si>
    <t>否</t>
    <phoneticPr fontId="2" type="noConversion"/>
  </si>
  <si>
    <t>住家保姆</t>
    <phoneticPr fontId="2" type="noConversion"/>
  </si>
  <si>
    <t>过几天下户 老人自理不自理都可以，照顾过70.80岁老人，煮饭，开车</t>
    <phoneticPr fontId="2" type="noConversion"/>
  </si>
  <si>
    <t>女</t>
    <phoneticPr fontId="2" type="noConversion"/>
  </si>
  <si>
    <t>江油</t>
    <phoneticPr fontId="2" type="noConversion"/>
  </si>
  <si>
    <t>人不舒服，年后再说，川菜比较拿手，蒸炒烧炖都可以，接单绵阳也可以没限制</t>
    <phoneticPr fontId="2" type="noConversion"/>
  </si>
  <si>
    <t>女子做了手术，恢复了再接单，做饭家常菜，照顾老人，小孩都可以</t>
    <phoneticPr fontId="2" type="noConversion"/>
  </si>
  <si>
    <t>罗江、金山</t>
    <phoneticPr fontId="2" type="noConversion"/>
  </si>
  <si>
    <t>欧阳书琼</t>
    <phoneticPr fontId="2" type="noConversion"/>
  </si>
  <si>
    <t>唐小碧</t>
  </si>
  <si>
    <t>住家育儿嫂</t>
    <phoneticPr fontId="2" type="noConversion"/>
  </si>
  <si>
    <t>6年工作经验 月龄到一岁半 有母婴护理，推拿，早教证书</t>
    <phoneticPr fontId="2" type="noConversion"/>
  </si>
  <si>
    <t>袁晓兰</t>
    <phoneticPr fontId="2" type="noConversion"/>
  </si>
  <si>
    <t>师范学院</t>
    <phoneticPr fontId="2" type="noConversion"/>
  </si>
  <si>
    <t>是</t>
    <phoneticPr fontId="2" type="noConversion"/>
  </si>
  <si>
    <t>2年经验 照顾两岁宝宝到上幼儿园</t>
    <phoneticPr fontId="2" type="noConversion"/>
  </si>
  <si>
    <t>绵阳</t>
    <phoneticPr fontId="2" type="noConversion"/>
  </si>
  <si>
    <t>樊翠香</t>
    <phoneticPr fontId="2" type="noConversion"/>
  </si>
  <si>
    <t>住江油，现在在绵阳来报的养老护理课程一千多，实操加网课住公司，后面可以接单</t>
    <phoneticPr fontId="2" type="noConversion"/>
  </si>
  <si>
    <t>黄健群</t>
    <phoneticPr fontId="2" type="noConversion"/>
  </si>
  <si>
    <t>邓素华</t>
  </si>
  <si>
    <t>是</t>
    <phoneticPr fontId="2" type="noConversion"/>
  </si>
  <si>
    <t>经开区</t>
    <phoneticPr fontId="2" type="noConversion"/>
  </si>
  <si>
    <t>女</t>
    <phoneticPr fontId="2" type="noConversion"/>
  </si>
  <si>
    <t>李利平</t>
  </si>
  <si>
    <t>否</t>
    <phoneticPr fontId="2" type="noConversion"/>
  </si>
  <si>
    <t>高新区</t>
    <phoneticPr fontId="2" type="noConversion"/>
  </si>
  <si>
    <t>月嫂</t>
    <phoneticPr fontId="2" type="noConversion"/>
  </si>
  <si>
    <t>过几天接住家育儿嫂单子，有月嫂、推拿、催乳等证书</t>
    <phoneticPr fontId="2" type="noConversion"/>
  </si>
  <si>
    <t>蒲丽</t>
  </si>
  <si>
    <t>江东华亭</t>
    <phoneticPr fontId="2" type="noConversion"/>
  </si>
  <si>
    <t>白班育儿嫂</t>
    <phoneticPr fontId="2" type="noConversion"/>
  </si>
  <si>
    <t>白班育儿白班保姆都可以接单，煲汤 面试西餐都可以</t>
    <phoneticPr fontId="2" type="noConversion"/>
  </si>
  <si>
    <t>鲁国友</t>
    <phoneticPr fontId="2" type="noConversion"/>
  </si>
  <si>
    <t>男</t>
    <phoneticPr fontId="2" type="noConversion"/>
  </si>
  <si>
    <t>照顾老人自理不自立都可以 钟点工也可以 还可以接短期的</t>
    <phoneticPr fontId="2" type="noConversion"/>
  </si>
  <si>
    <t>游仙</t>
    <phoneticPr fontId="2" type="noConversion"/>
  </si>
  <si>
    <t>任朝琼</t>
    <phoneticPr fontId="2" type="noConversion"/>
  </si>
  <si>
    <t>何英</t>
  </si>
  <si>
    <t>金禅寺</t>
    <phoneticPr fontId="2" type="noConversion"/>
  </si>
  <si>
    <t>白班保姆</t>
    <phoneticPr fontId="2" type="noConversion"/>
  </si>
  <si>
    <t>煮饭家务照顾老人小孩 一年经验</t>
    <phoneticPr fontId="2" type="noConversion"/>
  </si>
  <si>
    <t>钟点工</t>
    <phoneticPr fontId="2" type="noConversion"/>
  </si>
  <si>
    <t>早晚接自己孙子，白天可以接点钟点工</t>
    <phoneticPr fontId="2" type="noConversion"/>
  </si>
  <si>
    <t>科园社区</t>
    <phoneticPr fontId="2" type="noConversion"/>
  </si>
  <si>
    <t>李阿姨</t>
    <phoneticPr fontId="2" type="noConversion"/>
  </si>
  <si>
    <t>绵阳</t>
    <phoneticPr fontId="2" type="noConversion"/>
  </si>
  <si>
    <t>东苑 长虹世纪城附近接 单近点的 只接白班育儿工作 月龄到3岁都可以 照顾三个小朋友了已经</t>
    <phoneticPr fontId="2" type="noConversion"/>
  </si>
  <si>
    <t>王成容</t>
    <phoneticPr fontId="2" type="noConversion"/>
  </si>
  <si>
    <t>绵中</t>
    <phoneticPr fontId="2" type="noConversion"/>
  </si>
  <si>
    <t>曾晓辉</t>
  </si>
  <si>
    <t>游仙区欧家坝</t>
  </si>
  <si>
    <t>没体检 简历没经验</t>
    <phoneticPr fontId="2" type="noConversion"/>
  </si>
  <si>
    <t>有护理证 做饭家务 老人</t>
    <phoneticPr fontId="2" type="noConversion"/>
  </si>
  <si>
    <t>曹玉秀</t>
    <phoneticPr fontId="2" type="noConversion"/>
  </si>
  <si>
    <t>布鲁斯</t>
    <phoneticPr fontId="2" type="noConversion"/>
  </si>
  <si>
    <t xml:space="preserve">钟点工 </t>
    <phoneticPr fontId="2" type="noConversion"/>
  </si>
  <si>
    <r>
      <t>自理不自理老人 月龄到4岁孩子都照顾过 6年工作经验</t>
    </r>
    <r>
      <rPr>
        <sz val="11"/>
        <color theme="1"/>
        <rFont val="宋体"/>
        <family val="3"/>
        <charset val="134"/>
        <scheme val="minor"/>
      </rPr>
      <t xml:space="preserve"> 经开区保障房 有体检</t>
    </r>
    <phoneticPr fontId="2" type="noConversion"/>
  </si>
  <si>
    <t>顾晓青</t>
    <phoneticPr fontId="2" type="noConversion"/>
  </si>
  <si>
    <t>是</t>
    <phoneticPr fontId="2" type="noConversion"/>
  </si>
  <si>
    <t>石桥铺</t>
    <phoneticPr fontId="2" type="noConversion"/>
  </si>
  <si>
    <t>住家保姆</t>
    <phoneticPr fontId="2" type="noConversion"/>
  </si>
  <si>
    <t>女</t>
    <phoneticPr fontId="2" type="noConversion"/>
  </si>
  <si>
    <t>白班保姆</t>
    <phoneticPr fontId="2" type="noConversion"/>
  </si>
  <si>
    <t>普明万象</t>
    <phoneticPr fontId="2" type="noConversion"/>
  </si>
  <si>
    <t xml:space="preserve">煮饭打扫卫照顾老人 做饭家务 </t>
    <phoneticPr fontId="2" type="noConversion"/>
  </si>
  <si>
    <t>钟点工</t>
    <phoneticPr fontId="2" type="noConversion"/>
  </si>
  <si>
    <t>胡大琴</t>
    <phoneticPr fontId="2" type="noConversion"/>
  </si>
  <si>
    <t>三医院附近</t>
    <phoneticPr fontId="2" type="noConversion"/>
  </si>
  <si>
    <t>接下午钟点工 照顾小孩 老人 做饭 家务</t>
    <phoneticPr fontId="2" type="noConversion"/>
  </si>
  <si>
    <t>文艳</t>
    <phoneticPr fontId="2" type="noConversion"/>
  </si>
  <si>
    <t>阳简蓉</t>
    <phoneticPr fontId="2" type="noConversion"/>
  </si>
  <si>
    <t>照顾过两个小孩子觉得太累了，接住家保姆单</t>
    <phoneticPr fontId="2" type="noConversion"/>
  </si>
  <si>
    <t>江油市中心</t>
    <phoneticPr fontId="2" type="noConversion"/>
  </si>
  <si>
    <r>
      <t>一年经验 做饭卫生</t>
    </r>
    <r>
      <rPr>
        <sz val="11"/>
        <color theme="1"/>
        <rFont val="宋体"/>
        <family val="3"/>
        <charset val="134"/>
        <scheme val="minor"/>
      </rPr>
      <t xml:space="preserve"> 老人自理不自理都可以</t>
    </r>
    <phoneticPr fontId="2" type="noConversion"/>
  </si>
  <si>
    <t>邹光碧</t>
    <phoneticPr fontId="2" type="noConversion"/>
  </si>
  <si>
    <t xml:space="preserve">明天面试 应聘不上 就守摊摊 自己卖面 炒菜 </t>
    <phoneticPr fontId="2" type="noConversion"/>
  </si>
  <si>
    <t>护工证，健康证，厨师证</t>
  </si>
  <si>
    <t>钟点工</t>
    <phoneticPr fontId="2" type="noConversion"/>
  </si>
  <si>
    <t>王丽芳</t>
  </si>
  <si>
    <t>是</t>
    <phoneticPr fontId="2" type="noConversion"/>
  </si>
  <si>
    <t>女</t>
    <phoneticPr fontId="2" type="noConversion"/>
  </si>
  <si>
    <t>九州云溪谷</t>
    <phoneticPr fontId="2" type="noConversion"/>
  </si>
  <si>
    <t>住家保姆</t>
    <phoneticPr fontId="2" type="noConversion"/>
  </si>
  <si>
    <t>否</t>
    <phoneticPr fontId="2" type="noConversion"/>
  </si>
  <si>
    <t>7年工作经验 做饭家务小孩3岁以上 平武人 做过多年坝坝宴 擅长蒸菜凉菜</t>
    <phoneticPr fontId="2" type="noConversion"/>
  </si>
  <si>
    <t>林定蓉</t>
  </si>
  <si>
    <t>六里村</t>
    <phoneticPr fontId="2" type="noConversion"/>
  </si>
  <si>
    <t>住家育儿嫂</t>
    <phoneticPr fontId="2" type="noConversion"/>
  </si>
  <si>
    <t>赵玉华</t>
    <phoneticPr fontId="2" type="noConversion"/>
  </si>
  <si>
    <t>4年工作经验 白班住家育儿 2个月以上都可以接单 带过三个宝宝</t>
    <phoneticPr fontId="2" type="noConversion"/>
  </si>
  <si>
    <t>郭述琼</t>
    <phoneticPr fontId="2" type="noConversion"/>
  </si>
  <si>
    <t>圣水寺附近</t>
    <phoneticPr fontId="2" type="noConversion"/>
  </si>
  <si>
    <t>白班保姆</t>
    <phoneticPr fontId="2" type="noConversion"/>
  </si>
  <si>
    <t>金家林2中</t>
    <phoneticPr fontId="2" type="noConversion"/>
  </si>
  <si>
    <t>接白班单子 早上送自己孙子上学 11年经验7个月到6岁宝宝也可以带</t>
    <phoneticPr fontId="2" type="noConversion"/>
  </si>
  <si>
    <t>阳凤英</t>
    <phoneticPr fontId="2" type="noConversion"/>
  </si>
  <si>
    <t>三台芦溪</t>
    <phoneticPr fontId="2" type="noConversion"/>
  </si>
  <si>
    <t>年后再看接单不 现在带孙子</t>
    <phoneticPr fontId="2" type="noConversion"/>
  </si>
  <si>
    <t>一号桥</t>
    <phoneticPr fontId="2" type="noConversion"/>
  </si>
  <si>
    <t>尚洪芳</t>
    <phoneticPr fontId="2" type="noConversion"/>
  </si>
  <si>
    <t>送自己家娃娃 只接钟点工 09:00-17:00 有体检报告</t>
    <phoneticPr fontId="2" type="noConversion"/>
  </si>
  <si>
    <t>游仙石马镇</t>
    <phoneticPr fontId="2" type="noConversion"/>
  </si>
  <si>
    <t>接白班单子 5年经验 照顾老人</t>
    <phoneticPr fontId="2" type="noConversion"/>
  </si>
  <si>
    <t>谢琼</t>
    <phoneticPr fontId="2" type="noConversion"/>
  </si>
  <si>
    <t>住家保姆</t>
    <phoneticPr fontId="2" type="noConversion"/>
  </si>
  <si>
    <t>顾小梅</t>
  </si>
  <si>
    <t>人才公寓</t>
    <phoneticPr fontId="2" type="noConversion"/>
  </si>
  <si>
    <t>是</t>
    <phoneticPr fontId="2" type="noConversion"/>
  </si>
  <si>
    <t>住家育儿嫂</t>
    <phoneticPr fontId="2" type="noConversion"/>
  </si>
  <si>
    <t>10年经验 5500以上才接 满月以后的还在都可以接</t>
    <phoneticPr fontId="2" type="noConversion"/>
  </si>
  <si>
    <t>否</t>
    <phoneticPr fontId="2" type="noConversion"/>
  </si>
  <si>
    <t>曹丽华</t>
    <phoneticPr fontId="2" type="noConversion"/>
  </si>
  <si>
    <t>魏城</t>
    <phoneticPr fontId="2" type="noConversion"/>
  </si>
  <si>
    <t xml:space="preserve">阿姨妈妈感冒了先照顾 </t>
    <phoneticPr fontId="2" type="noConversion"/>
  </si>
  <si>
    <t>江油</t>
    <phoneticPr fontId="2" type="noConversion"/>
  </si>
  <si>
    <t xml:space="preserve">否 </t>
    <phoneticPr fontId="2" type="noConversion"/>
  </si>
  <si>
    <t>手摔断了 养伤恢复后接单</t>
    <phoneticPr fontId="2" type="noConversion"/>
  </si>
  <si>
    <t>杨芙英</t>
    <phoneticPr fontId="2" type="noConversion"/>
  </si>
  <si>
    <t>谢树清</t>
  </si>
  <si>
    <t>上户中</t>
    <phoneticPr fontId="2" type="noConversion"/>
  </si>
  <si>
    <t>王碧芳</t>
    <phoneticPr fontId="2" type="noConversion"/>
  </si>
  <si>
    <t>白班保姆</t>
    <phoneticPr fontId="2" type="noConversion"/>
  </si>
  <si>
    <t>接白班</t>
    <phoneticPr fontId="2" type="noConversion"/>
  </si>
  <si>
    <t>没有体检报告 准备去做 有护工培训证 医疗护理员培训证 在上海医院老年科做过 4000以上</t>
    <phoneticPr fontId="2" type="noConversion"/>
  </si>
  <si>
    <t>绵阳</t>
    <phoneticPr fontId="2" type="noConversion"/>
  </si>
  <si>
    <t>张萍</t>
  </si>
  <si>
    <t>双碑</t>
    <phoneticPr fontId="2" type="noConversion"/>
  </si>
  <si>
    <t>女</t>
    <phoneticPr fontId="2" type="noConversion"/>
  </si>
  <si>
    <t>想接独居老人单有养老护理证 住双碑的 4000以上</t>
    <phoneticPr fontId="2" type="noConversion"/>
  </si>
  <si>
    <t>蒲大兰</t>
    <phoneticPr fontId="2" type="noConversion"/>
  </si>
  <si>
    <t>梓潼</t>
    <phoneticPr fontId="2" type="noConversion"/>
  </si>
  <si>
    <t>7年经验 养老 护理 4000</t>
    <phoneticPr fontId="2" type="noConversion"/>
  </si>
  <si>
    <t>龙述群</t>
  </si>
  <si>
    <t>六里村</t>
    <phoneticPr fontId="2" type="noConversion"/>
  </si>
  <si>
    <t>否</t>
    <phoneticPr fontId="2" type="noConversion"/>
  </si>
  <si>
    <t>钟点工</t>
    <phoneticPr fontId="2" type="noConversion"/>
  </si>
  <si>
    <t>接下午2.30-7.00的单子</t>
    <phoneticPr fontId="2" type="noConversion"/>
  </si>
  <si>
    <t>女</t>
    <phoneticPr fontId="2" type="noConversion"/>
  </si>
  <si>
    <t>昝春梅</t>
    <phoneticPr fontId="2" type="noConversion"/>
  </si>
  <si>
    <t>是</t>
    <phoneticPr fontId="2" type="noConversion"/>
  </si>
  <si>
    <t>月嫂</t>
    <phoneticPr fontId="2" type="noConversion"/>
  </si>
  <si>
    <t xml:space="preserve">有证书 接月嫂单子 </t>
    <phoneticPr fontId="2" type="noConversion"/>
  </si>
  <si>
    <t>住家保姆</t>
    <phoneticPr fontId="2" type="noConversion"/>
  </si>
  <si>
    <t>姚丽君</t>
    <phoneticPr fontId="2" type="noConversion"/>
  </si>
  <si>
    <r>
      <t>4年工作经验</t>
    </r>
    <r>
      <rPr>
        <sz val="11"/>
        <color theme="1"/>
        <rFont val="宋体"/>
        <family val="3"/>
        <charset val="134"/>
        <scheme val="minor"/>
      </rPr>
      <t/>
    </r>
    <phoneticPr fontId="2" type="noConversion"/>
  </si>
  <si>
    <t>王金华</t>
    <phoneticPr fontId="2" type="noConversion"/>
  </si>
  <si>
    <t>住家育儿嫂</t>
    <phoneticPr fontId="2" type="noConversion"/>
  </si>
  <si>
    <t>永兴</t>
    <phoneticPr fontId="2" type="noConversion"/>
  </si>
  <si>
    <t>绵阳</t>
    <phoneticPr fontId="2" type="noConversion"/>
  </si>
  <si>
    <t>经开区塘汛</t>
    <phoneticPr fontId="2" type="noConversion"/>
  </si>
  <si>
    <t>王彦翠</t>
    <phoneticPr fontId="2" type="noConversion"/>
  </si>
  <si>
    <t>江油碧桂园</t>
    <phoneticPr fontId="2" type="noConversion"/>
  </si>
  <si>
    <t>白班保姆</t>
    <phoneticPr fontId="2" type="noConversion"/>
  </si>
  <si>
    <t>可以接单</t>
    <phoneticPr fontId="2" type="noConversion"/>
  </si>
  <si>
    <t>是</t>
    <phoneticPr fontId="2" type="noConversion"/>
  </si>
  <si>
    <t>女</t>
    <phoneticPr fontId="2" type="noConversion"/>
  </si>
  <si>
    <t>2025/22/26</t>
    <phoneticPr fontId="2" type="noConversion"/>
  </si>
  <si>
    <t>王秀</t>
  </si>
  <si>
    <t>住家保姆</t>
    <phoneticPr fontId="2" type="noConversion"/>
  </si>
  <si>
    <t>南湖车站</t>
    <phoneticPr fontId="2" type="noConversion"/>
  </si>
  <si>
    <t>白班保姆单也接 3年经验</t>
    <phoneticPr fontId="2" type="noConversion"/>
  </si>
  <si>
    <t>何萍</t>
  </si>
  <si>
    <t>否</t>
    <phoneticPr fontId="2" type="noConversion"/>
  </si>
  <si>
    <t>高水</t>
    <phoneticPr fontId="2" type="noConversion"/>
  </si>
  <si>
    <t>单子排到二月份了</t>
  </si>
  <si>
    <t>白班保姆</t>
    <phoneticPr fontId="2" type="noConversion"/>
  </si>
  <si>
    <t>经大碧</t>
    <phoneticPr fontId="2" type="noConversion"/>
  </si>
  <si>
    <t>预计年底下户再接单</t>
    <phoneticPr fontId="2" type="noConversion"/>
  </si>
  <si>
    <t xml:space="preserve">3年经验 今天顺河街推荐了一个火炬大厦这边面试的单子 明天没上岗就参加培训会 </t>
    <phoneticPr fontId="2" type="noConversion"/>
  </si>
  <si>
    <t>王春蓉</t>
  </si>
  <si>
    <t>魏城</t>
    <phoneticPr fontId="2" type="noConversion"/>
  </si>
  <si>
    <t>合同到明年10月份</t>
    <phoneticPr fontId="2" type="noConversion"/>
  </si>
  <si>
    <t>女</t>
    <phoneticPr fontId="2" type="noConversion"/>
  </si>
  <si>
    <t>安昌桥</t>
    <phoneticPr fontId="2" type="noConversion"/>
  </si>
  <si>
    <t>是</t>
    <phoneticPr fontId="2" type="noConversion"/>
  </si>
  <si>
    <t>住家保姆</t>
    <phoneticPr fontId="2" type="noConversion"/>
  </si>
  <si>
    <t>2025/22/26</t>
    <phoneticPr fontId="2" type="noConversion"/>
  </si>
  <si>
    <t>向明红</t>
    <phoneticPr fontId="2" type="noConversion"/>
  </si>
  <si>
    <t>白班 住家都可以接单 煮饭 打扫卫生 照顾老人说不得行</t>
    <phoneticPr fontId="2" type="noConversion"/>
  </si>
  <si>
    <t>张转过</t>
  </si>
  <si>
    <t>中央广场</t>
    <phoneticPr fontId="2" type="noConversion"/>
  </si>
  <si>
    <t>否</t>
    <phoneticPr fontId="2" type="noConversion"/>
  </si>
  <si>
    <t xml:space="preserve"> 钟点工 10:00-14：00</t>
    <phoneticPr fontId="2" type="noConversion"/>
  </si>
  <si>
    <t>安州黄土镇</t>
    <phoneticPr fontId="2" type="noConversion"/>
  </si>
  <si>
    <t>房子装修 一个月以后接单 国庆节前在上海做家政 煮饭 卫生别墅100平 白班 钟点工都可以接单</t>
    <phoneticPr fontId="2" type="noConversion"/>
  </si>
  <si>
    <t>彭凤琳</t>
    <phoneticPr fontId="2" type="noConversion"/>
  </si>
  <si>
    <t>贺贺</t>
    <phoneticPr fontId="2" type="noConversion"/>
  </si>
  <si>
    <t>住家保姆</t>
    <phoneticPr fontId="2" type="noConversion"/>
  </si>
  <si>
    <t>杨先生</t>
    <phoneticPr fontId="2" type="noConversion"/>
  </si>
  <si>
    <t>住家保姆，照顾两个老人，洗衣服做饭，老人能自理，刚做完肿瘤手术已经出院，保姆有独立的房间，3500元/月</t>
    <phoneticPr fontId="2" type="noConversion"/>
  </si>
  <si>
    <t>住家保姆</t>
    <phoneticPr fontId="2" type="noConversion"/>
  </si>
  <si>
    <t>用户32704</t>
    <phoneticPr fontId="2" type="noConversion"/>
  </si>
  <si>
    <t>普明人民政府</t>
    <phoneticPr fontId="2" type="noConversion"/>
  </si>
  <si>
    <t>未接通</t>
    <phoneticPr fontId="2" type="noConversion"/>
  </si>
  <si>
    <t>刘可平</t>
    <phoneticPr fontId="2" type="noConversion"/>
  </si>
  <si>
    <t>绵阳</t>
    <phoneticPr fontId="2" type="noConversion"/>
  </si>
  <si>
    <t>客户不需要了，已经找到了</t>
    <phoneticPr fontId="2" type="noConversion"/>
  </si>
  <si>
    <t>小雨点</t>
    <phoneticPr fontId="2" type="noConversion"/>
  </si>
  <si>
    <t>用户30527</t>
    <phoneticPr fontId="2" type="noConversion"/>
  </si>
  <si>
    <t>灵光的索隆</t>
    <phoneticPr fontId="2" type="noConversion"/>
  </si>
  <si>
    <t>刘叔</t>
    <phoneticPr fontId="2" type="noConversion"/>
  </si>
  <si>
    <t>绵阳三汇绿岛</t>
    <phoneticPr fontId="2" type="noConversion"/>
  </si>
  <si>
    <t>钟点工</t>
    <phoneticPr fontId="2" type="noConversion"/>
  </si>
  <si>
    <t>李清芬</t>
    <phoneticPr fontId="2" type="noConversion"/>
  </si>
  <si>
    <t>高新区普明街道</t>
    <phoneticPr fontId="2" type="noConversion"/>
  </si>
  <si>
    <t>接通，不需要</t>
    <phoneticPr fontId="2" type="noConversion"/>
  </si>
  <si>
    <t>毛毛虫的空间</t>
    <phoneticPr fontId="2" type="noConversion"/>
  </si>
  <si>
    <t>王总爱漂泊</t>
    <phoneticPr fontId="2" type="noConversion"/>
  </si>
  <si>
    <t>涪城城郊镇</t>
    <phoneticPr fontId="2" type="noConversion"/>
  </si>
  <si>
    <t>用户66145</t>
    <phoneticPr fontId="2" type="noConversion"/>
  </si>
  <si>
    <t>住家保姆</t>
    <phoneticPr fontId="2" type="noConversion"/>
  </si>
  <si>
    <t>未接通</t>
    <phoneticPr fontId="2" type="noConversion"/>
  </si>
  <si>
    <t>用户42010</t>
    <phoneticPr fontId="2" type="noConversion"/>
  </si>
  <si>
    <t>三台县北坝镇</t>
    <phoneticPr fontId="2" type="noConversion"/>
  </si>
  <si>
    <t>接通，不说话</t>
    <phoneticPr fontId="2" type="noConversion"/>
  </si>
  <si>
    <t>徐俊</t>
    <phoneticPr fontId="2" type="noConversion"/>
  </si>
  <si>
    <t>钟点工</t>
    <phoneticPr fontId="2" type="noConversion"/>
  </si>
  <si>
    <t>涪城朝阳街道</t>
    <phoneticPr fontId="2" type="noConversion"/>
  </si>
  <si>
    <t>接通，不需要</t>
    <phoneticPr fontId="2" type="noConversion"/>
  </si>
  <si>
    <t>绵阳</t>
    <phoneticPr fontId="2" type="noConversion"/>
  </si>
  <si>
    <t>线索</t>
    <phoneticPr fontId="2" type="noConversion"/>
  </si>
  <si>
    <t>高老师</t>
    <phoneticPr fontId="2" type="noConversion"/>
  </si>
  <si>
    <t>接通，不需要</t>
    <phoneticPr fontId="2" type="noConversion"/>
  </si>
  <si>
    <t>二次流转</t>
    <phoneticPr fontId="2" type="noConversion"/>
  </si>
  <si>
    <t>线索</t>
    <phoneticPr fontId="2" type="noConversion"/>
  </si>
  <si>
    <t>1568114****</t>
    <phoneticPr fontId="2" type="noConversion"/>
  </si>
  <si>
    <t>1778016****</t>
    <phoneticPr fontId="2" type="noConversion"/>
  </si>
  <si>
    <t>1338810****</t>
    <phoneticPr fontId="2" type="noConversion"/>
  </si>
  <si>
    <t>133390****</t>
    <phoneticPr fontId="2" type="noConversion"/>
  </si>
  <si>
    <t>1660803****</t>
    <phoneticPr fontId="2" type="noConversion"/>
  </si>
  <si>
    <t>1588465****</t>
    <phoneticPr fontId="2" type="noConversion"/>
  </si>
  <si>
    <t>1528096****</t>
    <phoneticPr fontId="2" type="noConversion"/>
  </si>
  <si>
    <t>1598440****</t>
    <phoneticPr fontId="2" type="noConversion"/>
  </si>
  <si>
    <t>1552058****</t>
    <phoneticPr fontId="2" type="noConversion"/>
  </si>
  <si>
    <t>1568134****</t>
    <phoneticPr fontId="2" type="noConversion"/>
  </si>
  <si>
    <t>接通，现有阿姨之前说不想做了，又变更继续做</t>
    <phoneticPr fontId="2" type="noConversion"/>
  </si>
  <si>
    <t>经开区长虹大道515号</t>
    <phoneticPr fontId="2" type="noConversion"/>
  </si>
  <si>
    <t>贺贺</t>
    <phoneticPr fontId="2" type="noConversion"/>
  </si>
  <si>
    <t>冯良香</t>
    <phoneticPr fontId="2" type="noConversion"/>
  </si>
  <si>
    <t>女</t>
    <phoneticPr fontId="2" type="noConversion"/>
  </si>
  <si>
    <t>四川江油</t>
    <phoneticPr fontId="2" type="noConversion"/>
  </si>
  <si>
    <t>是</t>
    <phoneticPr fontId="2" type="noConversion"/>
  </si>
  <si>
    <t>白班住家</t>
    <phoneticPr fontId="2" type="noConversion"/>
  </si>
  <si>
    <t>照顾老人有经验，自理不自理都可，</t>
    <phoneticPr fontId="2" type="noConversion"/>
  </si>
  <si>
    <t>王阿姨</t>
    <phoneticPr fontId="2" type="noConversion"/>
  </si>
  <si>
    <t>游仙魏城</t>
    <phoneticPr fontId="2" type="noConversion"/>
  </si>
  <si>
    <t>目前上户</t>
    <phoneticPr fontId="2" type="noConversion"/>
  </si>
  <si>
    <t>育儿嫂</t>
    <phoneticPr fontId="2" type="noConversion"/>
  </si>
  <si>
    <t>广汉</t>
    <phoneticPr fontId="2" type="noConversion"/>
  </si>
  <si>
    <t>秦阿姨</t>
    <phoneticPr fontId="2" type="noConversion"/>
  </si>
  <si>
    <t>白班住家钟点工</t>
    <phoneticPr fontId="2" type="noConversion"/>
  </si>
  <si>
    <t>高老师</t>
    <phoneticPr fontId="2" type="noConversion"/>
  </si>
  <si>
    <t>顾师傅爱转交</t>
    <phoneticPr fontId="2" type="noConversion"/>
  </si>
  <si>
    <t>住家育儿嫂</t>
    <phoneticPr fontId="2" type="noConversion"/>
  </si>
  <si>
    <t>1838160****</t>
    <phoneticPr fontId="2" type="noConversion"/>
  </si>
  <si>
    <t>花该镇</t>
    <phoneticPr fontId="2" type="noConversion"/>
  </si>
  <si>
    <t>接通，未说话</t>
    <phoneticPr fontId="2" type="noConversion"/>
  </si>
  <si>
    <t>用户77213</t>
    <phoneticPr fontId="2" type="noConversion"/>
  </si>
  <si>
    <t>白班育儿嫂</t>
    <phoneticPr fontId="2" type="noConversion"/>
  </si>
  <si>
    <t>1310811****</t>
    <phoneticPr fontId="2" type="noConversion"/>
  </si>
  <si>
    <t>游仙街道</t>
    <phoneticPr fontId="2" type="noConversion"/>
  </si>
  <si>
    <t>侯博士爱照看</t>
    <phoneticPr fontId="2" type="noConversion"/>
  </si>
  <si>
    <t>1595855****</t>
    <phoneticPr fontId="2" type="noConversion"/>
  </si>
  <si>
    <t>住家保姆</t>
    <phoneticPr fontId="2" type="noConversion"/>
  </si>
  <si>
    <t>46a4eugz6</t>
    <phoneticPr fontId="2" type="noConversion"/>
  </si>
  <si>
    <t>1997985****</t>
    <phoneticPr fontId="2" type="noConversion"/>
  </si>
  <si>
    <t>绵阳</t>
    <phoneticPr fontId="2" type="noConversion"/>
  </si>
  <si>
    <t>未接通</t>
    <phoneticPr fontId="2" type="noConversion"/>
  </si>
  <si>
    <t>谌同学爱广播</t>
    <phoneticPr fontId="2" type="noConversion"/>
  </si>
  <si>
    <t>1788391****</t>
    <phoneticPr fontId="2" type="noConversion"/>
  </si>
  <si>
    <t>贺贺</t>
    <phoneticPr fontId="2" type="noConversion"/>
  </si>
  <si>
    <t>小北街水印三江2单元2103</t>
    <phoneticPr fontId="2" type="noConversion"/>
  </si>
  <si>
    <t>贺贺</t>
    <phoneticPr fontId="2" type="noConversion"/>
  </si>
  <si>
    <t>何沛璐</t>
    <phoneticPr fontId="2" type="noConversion"/>
  </si>
  <si>
    <t>贺贺</t>
    <phoneticPr fontId="2" type="noConversion"/>
  </si>
  <si>
    <t>姜蓉</t>
    <phoneticPr fontId="2" type="noConversion"/>
  </si>
  <si>
    <t>女</t>
    <phoneticPr fontId="2" type="noConversion"/>
  </si>
  <si>
    <t>塘汛</t>
    <phoneticPr fontId="2" type="noConversion"/>
  </si>
  <si>
    <t>是</t>
    <phoneticPr fontId="2" type="noConversion"/>
  </si>
  <si>
    <t>白班住家</t>
    <phoneticPr fontId="2" type="noConversion"/>
  </si>
  <si>
    <t>蒋芳</t>
    <phoneticPr fontId="2" type="noConversion"/>
  </si>
  <si>
    <t>住家</t>
    <phoneticPr fontId="2" type="noConversion"/>
  </si>
  <si>
    <t>高老师</t>
    <phoneticPr fontId="2" type="noConversion"/>
  </si>
  <si>
    <t>何沛璐</t>
    <phoneticPr fontId="2" type="noConversion"/>
  </si>
  <si>
    <t>住家保姆</t>
    <phoneticPr fontId="2" type="noConversion"/>
  </si>
  <si>
    <t>小北街水印三江2单元2103</t>
    <phoneticPr fontId="2" type="noConversion"/>
  </si>
  <si>
    <t>照顾刚出院80岁老人，女自理老人，面积100平米，洗衣做饭打扫卫生</t>
    <phoneticPr fontId="2" type="noConversion"/>
  </si>
  <si>
    <t>thntx-fo</t>
    <phoneticPr fontId="2" type="noConversion"/>
  </si>
  <si>
    <t>钟点工</t>
    <phoneticPr fontId="2" type="noConversion"/>
  </si>
  <si>
    <t>1590820****</t>
    <phoneticPr fontId="2" type="noConversion"/>
  </si>
  <si>
    <t>工区街道</t>
    <phoneticPr fontId="2" type="noConversion"/>
  </si>
  <si>
    <t>接通，未说话</t>
    <phoneticPr fontId="2" type="noConversion"/>
  </si>
  <si>
    <t>王九胜</t>
    <phoneticPr fontId="2" type="noConversion"/>
  </si>
  <si>
    <t>1365812****</t>
    <phoneticPr fontId="2" type="noConversion"/>
  </si>
  <si>
    <t>未接通</t>
    <phoneticPr fontId="2" type="noConversion"/>
  </si>
  <si>
    <t>杜阳</t>
    <phoneticPr fontId="2" type="noConversion"/>
  </si>
  <si>
    <t>白班育儿嫂</t>
    <phoneticPr fontId="2" type="noConversion"/>
  </si>
  <si>
    <t>城厢街道</t>
    <phoneticPr fontId="2" type="noConversion"/>
  </si>
  <si>
    <t>1399016****</t>
    <phoneticPr fontId="2" type="noConversion"/>
  </si>
  <si>
    <t>帖憨憨</t>
    <phoneticPr fontId="2" type="noConversion"/>
  </si>
  <si>
    <t>白班保姆</t>
    <phoneticPr fontId="2" type="noConversion"/>
  </si>
  <si>
    <t>1736496****</t>
    <phoneticPr fontId="2" type="noConversion"/>
  </si>
  <si>
    <t>普明街道</t>
    <phoneticPr fontId="2" type="noConversion"/>
  </si>
  <si>
    <t>给2026年4月预产期的儿媳妇找月嫂</t>
    <phoneticPr fontId="2" type="noConversion"/>
  </si>
  <si>
    <t>贾德芳</t>
    <phoneticPr fontId="2" type="noConversion"/>
  </si>
  <si>
    <t>第一个月工资4500元，叔叔恢复了之后3000-3500元/月客户定12.12签约</t>
    <phoneticPr fontId="2" type="noConversion"/>
  </si>
  <si>
    <t>贺贺</t>
    <phoneticPr fontId="2" type="noConversion"/>
  </si>
  <si>
    <t>新线索</t>
    <phoneticPr fontId="2" type="noConversion"/>
  </si>
  <si>
    <t>虚怀若谷杜师傅</t>
    <phoneticPr fontId="2" type="noConversion"/>
  </si>
  <si>
    <t>钟点工</t>
    <phoneticPr fontId="2" type="noConversion"/>
  </si>
  <si>
    <t>1369960****</t>
    <phoneticPr fontId="2" type="noConversion"/>
  </si>
  <si>
    <t>青义镇</t>
    <phoneticPr fontId="2" type="noConversion"/>
  </si>
  <si>
    <t>接通，不需要</t>
    <phoneticPr fontId="2" type="noConversion"/>
  </si>
  <si>
    <t>接通，挂断</t>
    <phoneticPr fontId="2" type="noConversion"/>
  </si>
  <si>
    <t>贺贺</t>
    <phoneticPr fontId="2" type="noConversion"/>
  </si>
  <si>
    <t>新线索</t>
    <phoneticPr fontId="2" type="noConversion"/>
  </si>
  <si>
    <t>何杨梅</t>
    <phoneticPr fontId="2" type="noConversion"/>
  </si>
  <si>
    <t>钟点工</t>
    <phoneticPr fontId="2" type="noConversion"/>
  </si>
  <si>
    <t>江油天赋乐宜</t>
    <phoneticPr fontId="2" type="noConversion"/>
  </si>
  <si>
    <t>打扫卫生，收拾衣服，面积80平米，不做饭，一个月2-3次4小时</t>
    <phoneticPr fontId="2" type="noConversion"/>
  </si>
  <si>
    <t>刘玉秀</t>
    <phoneticPr fontId="2" type="noConversion"/>
  </si>
  <si>
    <t>住家保姆</t>
    <phoneticPr fontId="2" type="noConversion"/>
  </si>
  <si>
    <t>游仙沈家坝</t>
    <phoneticPr fontId="2" type="noConversion"/>
  </si>
  <si>
    <t>腰间盘突出手术医院期间买饭照顾和回家恢复照顾，面积50平米，</t>
    <phoneticPr fontId="2" type="noConversion"/>
  </si>
  <si>
    <t>贺贺</t>
    <phoneticPr fontId="2" type="noConversion"/>
  </si>
  <si>
    <t>新线索</t>
    <phoneticPr fontId="2" type="noConversion"/>
  </si>
  <si>
    <t>刘玉秀</t>
    <phoneticPr fontId="2" type="noConversion"/>
  </si>
  <si>
    <t>住家保姆</t>
    <phoneticPr fontId="2" type="noConversion"/>
  </si>
  <si>
    <t>游仙沈家坝北街59栋4单元</t>
    <phoneticPr fontId="2" type="noConversion"/>
  </si>
  <si>
    <t>姜蓉</t>
    <phoneticPr fontId="2" type="noConversion"/>
  </si>
  <si>
    <t>客户对服务费存在顾虑</t>
    <phoneticPr fontId="2" type="noConversion"/>
  </si>
  <si>
    <t>二次流转</t>
    <phoneticPr fontId="2" type="noConversion"/>
  </si>
  <si>
    <t>爱团结的商博士</t>
    <phoneticPr fontId="2" type="noConversion"/>
  </si>
  <si>
    <t>白班保姆</t>
    <phoneticPr fontId="2" type="noConversion"/>
  </si>
  <si>
    <t>1991596****</t>
    <phoneticPr fontId="2" type="noConversion"/>
  </si>
  <si>
    <t>绵阳</t>
    <phoneticPr fontId="2" type="noConversion"/>
  </si>
  <si>
    <t>未接通</t>
    <phoneticPr fontId="2" type="noConversion"/>
  </si>
  <si>
    <t>罗非</t>
    <phoneticPr fontId="2" type="noConversion"/>
  </si>
  <si>
    <t>1552856****</t>
    <phoneticPr fontId="2" type="noConversion"/>
  </si>
  <si>
    <t>已经找到阿姨</t>
    <phoneticPr fontId="2" type="noConversion"/>
  </si>
  <si>
    <t>胥师傅想注意</t>
    <phoneticPr fontId="2" type="noConversion"/>
  </si>
  <si>
    <t>1304354****</t>
    <phoneticPr fontId="2" type="noConversion"/>
  </si>
  <si>
    <t>刘先生</t>
    <phoneticPr fontId="2" type="noConversion"/>
  </si>
  <si>
    <t>照顾老人，腰间盘突出，养老院护理的经验</t>
    <phoneticPr fontId="2" type="noConversion"/>
  </si>
  <si>
    <t>贺贺</t>
    <phoneticPr fontId="2" type="noConversion"/>
  </si>
  <si>
    <t>肖阿姨</t>
    <phoneticPr fontId="2" type="noConversion"/>
  </si>
  <si>
    <t>女</t>
    <phoneticPr fontId="2" type="noConversion"/>
  </si>
  <si>
    <t>芦溪花园</t>
    <phoneticPr fontId="2" type="noConversion"/>
  </si>
  <si>
    <t>是</t>
    <phoneticPr fontId="2" type="noConversion"/>
  </si>
  <si>
    <t>住家保姆</t>
    <phoneticPr fontId="2" type="noConversion"/>
  </si>
  <si>
    <t>顾必珍</t>
    <phoneticPr fontId="2" type="noConversion"/>
  </si>
  <si>
    <t>三台县</t>
    <phoneticPr fontId="2" type="noConversion"/>
  </si>
  <si>
    <t>廖先容</t>
    <phoneticPr fontId="2" type="noConversion"/>
  </si>
  <si>
    <t>贺贺</t>
    <phoneticPr fontId="2" type="noConversion"/>
  </si>
  <si>
    <t>文娟</t>
    <phoneticPr fontId="2" type="noConversion"/>
  </si>
  <si>
    <t>住家保姆</t>
    <phoneticPr fontId="2" type="noConversion"/>
  </si>
  <si>
    <t>绵阳</t>
    <phoneticPr fontId="2" type="noConversion"/>
  </si>
  <si>
    <t>文女士带着两个儿子，一个初中一个小学，擅长做孩子喜欢的菜式，孩子脾胃弱，能帮助调理孩子脾胃，做早饭中饭，晚餐孩子在托管中心吃，接送孩子</t>
    <phoneticPr fontId="2" type="noConversion"/>
  </si>
  <si>
    <t>不需要</t>
    <phoneticPr fontId="2" type="noConversion"/>
  </si>
  <si>
    <t>顾虑服务费太高，12/11沟通已找朋友介绍的阿姨</t>
    <phoneticPr fontId="2" type="noConversion"/>
  </si>
  <si>
    <t>贺贺</t>
    <phoneticPr fontId="2" type="noConversion"/>
  </si>
  <si>
    <t>陈总爱落泪</t>
    <phoneticPr fontId="2" type="noConversion"/>
  </si>
  <si>
    <t>住家保姆</t>
    <phoneticPr fontId="2" type="noConversion"/>
  </si>
  <si>
    <t>1500815****</t>
    <phoneticPr fontId="2" type="noConversion"/>
  </si>
  <si>
    <t>绵阳</t>
    <phoneticPr fontId="2" type="noConversion"/>
  </si>
  <si>
    <t>挂断</t>
    <phoneticPr fontId="2" type="noConversion"/>
  </si>
  <si>
    <t>贾德芳</t>
    <phoneticPr fontId="2" type="noConversion"/>
  </si>
  <si>
    <t>贺贺老师</t>
    <phoneticPr fontId="2" type="noConversion"/>
  </si>
  <si>
    <t>首月4500元，后续3000元-3500元</t>
    <phoneticPr fontId="2" type="noConversion"/>
  </si>
  <si>
    <t>何沛璐</t>
    <phoneticPr fontId="2" type="noConversion"/>
  </si>
  <si>
    <t>高老师</t>
    <phoneticPr fontId="2" type="noConversion"/>
  </si>
  <si>
    <t>水印三江2单元2103室</t>
    <phoneticPr fontId="2" type="noConversion"/>
  </si>
  <si>
    <t>接通挂断</t>
    <phoneticPr fontId="2" type="noConversion"/>
  </si>
  <si>
    <t>贺贺</t>
    <phoneticPr fontId="2" type="noConversion"/>
  </si>
  <si>
    <t>高老师</t>
    <phoneticPr fontId="2" type="noConversion"/>
  </si>
  <si>
    <t>张女士</t>
    <phoneticPr fontId="2" type="noConversion"/>
  </si>
  <si>
    <t>住家保姆</t>
    <phoneticPr fontId="2" type="noConversion"/>
  </si>
  <si>
    <t>爱琢磨的嫪师傅</t>
    <phoneticPr fontId="2" type="noConversion"/>
  </si>
  <si>
    <t>伍先生</t>
    <phoneticPr fontId="2" type="noConversion"/>
  </si>
  <si>
    <t>两位老人都能自理，男老人90多岁眼睛不好耳背，女老人80多岁挂大便袋，面积80 平米，照顾老人，做饭做家务</t>
    <phoneticPr fontId="2" type="noConversion"/>
  </si>
  <si>
    <t>贺贺</t>
    <phoneticPr fontId="2" type="noConversion"/>
  </si>
  <si>
    <t>刘国英</t>
    <phoneticPr fontId="2" type="noConversion"/>
  </si>
  <si>
    <t>白班保姆</t>
    <phoneticPr fontId="2" type="noConversion"/>
  </si>
  <si>
    <t>尚高境界</t>
    <phoneticPr fontId="2" type="noConversion"/>
  </si>
  <si>
    <t>孕妇 50平米 洗衣做饭打扫卫生 最好早饭也可以帮忙买或者做</t>
    <phoneticPr fontId="2" type="noConversion"/>
  </si>
  <si>
    <t>贺贺</t>
    <phoneticPr fontId="2" type="noConversion"/>
  </si>
  <si>
    <t>白班保姆</t>
    <phoneticPr fontId="2" type="noConversion"/>
  </si>
  <si>
    <t>小岛三期</t>
    <phoneticPr fontId="2" type="noConversion"/>
  </si>
  <si>
    <t>祁女士</t>
    <phoneticPr fontId="2" type="noConversion"/>
  </si>
  <si>
    <t xml:space="preserve">两个80多岁自理老人的，做饭打扫卫生 90平米 陕西人爱吃面食 </t>
    <phoneticPr fontId="2" type="noConversion"/>
  </si>
  <si>
    <t>科学城七区</t>
    <phoneticPr fontId="2" type="noConversion"/>
  </si>
  <si>
    <t>爱诉说的凌老板</t>
    <phoneticPr fontId="2" type="noConversion"/>
  </si>
  <si>
    <t>白班育儿嫂</t>
    <phoneticPr fontId="2" type="noConversion"/>
  </si>
  <si>
    <t>1931040****</t>
    <phoneticPr fontId="2" type="noConversion"/>
  </si>
  <si>
    <t>通力汽车运输 八十队</t>
    <phoneticPr fontId="2" type="noConversion"/>
  </si>
  <si>
    <t>未接通</t>
    <phoneticPr fontId="2" type="noConversion"/>
  </si>
  <si>
    <t>贺贺</t>
    <phoneticPr fontId="2" type="noConversion"/>
  </si>
  <si>
    <t>爱表扬的甄总</t>
    <phoneticPr fontId="2" type="noConversion"/>
  </si>
  <si>
    <t>王女士</t>
    <phoneticPr fontId="2" type="noConversion"/>
  </si>
  <si>
    <t>钟点工</t>
    <phoneticPr fontId="2" type="noConversion"/>
  </si>
  <si>
    <t>乐荟城</t>
    <phoneticPr fontId="2" type="noConversion"/>
  </si>
  <si>
    <t xml:space="preserve">接高中男生至南山双语 会开车 </t>
    <phoneticPr fontId="2" type="noConversion"/>
  </si>
  <si>
    <t>12-buv</t>
    <phoneticPr fontId="2" type="noConversion"/>
  </si>
  <si>
    <t>白班保姆</t>
    <phoneticPr fontId="2" type="noConversion"/>
  </si>
  <si>
    <t>1868167****</t>
    <phoneticPr fontId="2" type="noConversion"/>
  </si>
  <si>
    <t>芦溪镇</t>
    <phoneticPr fontId="2" type="noConversion"/>
  </si>
  <si>
    <t>未接通</t>
    <phoneticPr fontId="2" type="noConversion"/>
  </si>
  <si>
    <t>贺贺</t>
    <phoneticPr fontId="2" type="noConversion"/>
  </si>
  <si>
    <t>高老师</t>
    <phoneticPr fontId="2" type="noConversion"/>
  </si>
  <si>
    <t>乐于冒险的萧老板</t>
    <phoneticPr fontId="2" type="noConversion"/>
  </si>
  <si>
    <t>白班保姆</t>
    <phoneticPr fontId="2" type="noConversion"/>
  </si>
  <si>
    <t>1818175****</t>
    <phoneticPr fontId="2" type="noConversion"/>
  </si>
  <si>
    <t>九州第一生活区</t>
    <phoneticPr fontId="2" type="noConversion"/>
  </si>
  <si>
    <t>暂时不用</t>
    <phoneticPr fontId="2" type="noConversion"/>
  </si>
  <si>
    <t>文老师</t>
    <phoneticPr fontId="2" type="noConversion"/>
  </si>
  <si>
    <t>用户70901</t>
    <phoneticPr fontId="2" type="noConversion"/>
  </si>
  <si>
    <t>住家保姆</t>
    <phoneticPr fontId="2" type="noConversion"/>
  </si>
  <si>
    <t>1532822****</t>
    <phoneticPr fontId="2" type="noConversion"/>
  </si>
  <si>
    <t>未接通</t>
    <phoneticPr fontId="2" type="noConversion"/>
  </si>
  <si>
    <t>体贴细心的谌同学</t>
    <phoneticPr fontId="2" type="noConversion"/>
  </si>
  <si>
    <t>钟点工</t>
    <phoneticPr fontId="2" type="noConversion"/>
  </si>
  <si>
    <t>1377803****</t>
    <phoneticPr fontId="2" type="noConversion"/>
  </si>
  <si>
    <t>三台县古井镇</t>
    <phoneticPr fontId="2" type="noConversion"/>
  </si>
  <si>
    <t>接通，挂断</t>
    <phoneticPr fontId="2" type="noConversion"/>
  </si>
  <si>
    <t>风吹雨打日晒</t>
    <phoneticPr fontId="2" type="noConversion"/>
  </si>
  <si>
    <t>白班育儿嫂</t>
    <phoneticPr fontId="2" type="noConversion"/>
  </si>
  <si>
    <t>1588452****</t>
    <phoneticPr fontId="2" type="noConversion"/>
  </si>
  <si>
    <t>海珂花郡</t>
    <phoneticPr fontId="2" type="noConversion"/>
  </si>
  <si>
    <t>女宝 四个月  混合喂养 安州海珂花郡 白天妈妈也在</t>
    <phoneticPr fontId="2" type="noConversion"/>
  </si>
  <si>
    <t>12/15回访，客户觉得还可以，慢慢教</t>
    <phoneticPr fontId="2" type="noConversion"/>
  </si>
  <si>
    <t>平证客运站</t>
    <phoneticPr fontId="2" type="noConversion"/>
  </si>
  <si>
    <t>何志远</t>
    <phoneticPr fontId="2" type="noConversion"/>
  </si>
  <si>
    <t>李兰英</t>
    <phoneticPr fontId="2" type="noConversion"/>
  </si>
  <si>
    <t>擅长做饭</t>
    <phoneticPr fontId="2" type="noConversion"/>
  </si>
  <si>
    <t>文老师</t>
    <phoneticPr fontId="2" type="noConversion"/>
  </si>
  <si>
    <t>月嫂</t>
    <phoneticPr fontId="2" type="noConversion"/>
  </si>
  <si>
    <t>已转高老师</t>
    <phoneticPr fontId="2" type="noConversion"/>
  </si>
  <si>
    <t>贺贺</t>
    <phoneticPr fontId="2" type="noConversion"/>
  </si>
  <si>
    <t>高老师</t>
    <phoneticPr fontId="2" type="noConversion"/>
  </si>
  <si>
    <t>1335095****</t>
    <phoneticPr fontId="2" type="noConversion"/>
  </si>
  <si>
    <t>住家保姆</t>
    <phoneticPr fontId="2" type="noConversion"/>
  </si>
  <si>
    <t>2025/12/15不需要</t>
    <phoneticPr fontId="2" type="noConversion"/>
  </si>
  <si>
    <t>用户44055</t>
    <phoneticPr fontId="2" type="noConversion"/>
  </si>
  <si>
    <t>2025/12/15不需要，只是了解</t>
    <phoneticPr fontId="2" type="noConversion"/>
  </si>
  <si>
    <r>
      <t>2025/12/15</t>
    </r>
    <r>
      <rPr>
        <sz val="11"/>
        <color theme="1"/>
        <rFont val="宋体"/>
        <charset val="134"/>
        <scheme val="minor"/>
      </rPr>
      <t>报门挂断</t>
    </r>
    <phoneticPr fontId="2" type="noConversion"/>
  </si>
  <si>
    <r>
      <t>2025/12/15</t>
    </r>
    <r>
      <rPr>
        <sz val="11"/>
        <color theme="1"/>
        <rFont val="宋体"/>
        <charset val="134"/>
        <scheme val="minor"/>
      </rPr>
      <t>媳妇儿已经找到了</t>
    </r>
    <phoneticPr fontId="2" type="noConversion"/>
  </si>
  <si>
    <t>徐雪莪</t>
    <phoneticPr fontId="2" type="noConversion"/>
  </si>
  <si>
    <t>月嫂</t>
    <phoneticPr fontId="2" type="noConversion"/>
  </si>
  <si>
    <t>资料很好看 擅长做饭</t>
    <phoneticPr fontId="2" type="noConversion"/>
  </si>
  <si>
    <t>贺贺</t>
    <phoneticPr fontId="2" type="noConversion"/>
  </si>
  <si>
    <t>洪辉煌</t>
    <phoneticPr fontId="2" type="noConversion"/>
  </si>
  <si>
    <t>毅德商贸城</t>
    <phoneticPr fontId="2" type="noConversion"/>
  </si>
  <si>
    <t>贺贺</t>
    <phoneticPr fontId="2" type="noConversion"/>
  </si>
  <si>
    <t>用户80570</t>
    <phoneticPr fontId="2" type="noConversion"/>
  </si>
  <si>
    <t>住家保姆</t>
    <phoneticPr fontId="2" type="noConversion"/>
  </si>
  <si>
    <t>韩博士想游览</t>
    <phoneticPr fontId="2" type="noConversion"/>
  </si>
  <si>
    <t>钟点工</t>
    <phoneticPr fontId="2" type="noConversion"/>
  </si>
  <si>
    <t>永兴三大队</t>
    <phoneticPr fontId="2" type="noConversion"/>
  </si>
  <si>
    <t>煮一顿饭+买菜，用工10天</t>
    <phoneticPr fontId="2" type="noConversion"/>
  </si>
  <si>
    <t>转高老师</t>
    <phoneticPr fontId="2" type="noConversion"/>
  </si>
  <si>
    <t>1389035****</t>
    <phoneticPr fontId="2" type="noConversion"/>
  </si>
  <si>
    <t>绵阳</t>
    <phoneticPr fontId="2" type="noConversion"/>
  </si>
  <si>
    <t>甘老板爱锻炼</t>
    <phoneticPr fontId="2" type="noConversion"/>
  </si>
  <si>
    <t>1851039****</t>
    <phoneticPr fontId="2" type="noConversion"/>
  </si>
  <si>
    <t>挂断</t>
    <phoneticPr fontId="2" type="noConversion"/>
  </si>
  <si>
    <t>用户38372</t>
    <phoneticPr fontId="2" type="noConversion"/>
  </si>
  <si>
    <t>1804861****</t>
    <phoneticPr fontId="2" type="noConversion"/>
  </si>
  <si>
    <t>游仙六里村</t>
    <phoneticPr fontId="2" type="noConversion"/>
  </si>
  <si>
    <t>推老人晒太阳</t>
    <phoneticPr fontId="2" type="noConversion"/>
  </si>
  <si>
    <t>预产期2026.1.20，金牌月嫂</t>
    <phoneticPr fontId="2" type="noConversion"/>
  </si>
  <si>
    <t>用户54194</t>
    <phoneticPr fontId="2" type="noConversion"/>
  </si>
  <si>
    <t>1785538****</t>
    <phoneticPr fontId="2" type="noConversion"/>
  </si>
  <si>
    <t>停机</t>
    <phoneticPr fontId="2" type="noConversion"/>
  </si>
  <si>
    <t>贺贺</t>
    <phoneticPr fontId="2" type="noConversion"/>
  </si>
  <si>
    <t>王桥夫</t>
    <phoneticPr fontId="2" type="noConversion"/>
  </si>
  <si>
    <t>住家育儿嫂</t>
    <phoneticPr fontId="2" type="noConversion"/>
  </si>
  <si>
    <t>绵阳</t>
    <phoneticPr fontId="2" type="noConversion"/>
  </si>
  <si>
    <t>照顾两个月大宝宝</t>
    <phoneticPr fontId="2" type="noConversion"/>
  </si>
  <si>
    <t>钟点工</t>
    <phoneticPr fontId="2" type="noConversion"/>
  </si>
  <si>
    <t>1738166****</t>
    <phoneticPr fontId="2" type="noConversion"/>
  </si>
  <si>
    <t>塘汛街道</t>
    <phoneticPr fontId="2" type="noConversion"/>
  </si>
  <si>
    <t>王春桃</t>
    <phoneticPr fontId="2" type="noConversion"/>
  </si>
  <si>
    <t>高老师</t>
    <phoneticPr fontId="2" type="noConversion"/>
  </si>
  <si>
    <t>栾博士想等待</t>
    <phoneticPr fontId="2" type="noConversion"/>
  </si>
  <si>
    <t>住家保姆</t>
    <phoneticPr fontId="2" type="noConversion"/>
  </si>
  <si>
    <t>1598295****</t>
    <phoneticPr fontId="2" type="noConversion"/>
  </si>
  <si>
    <t>95-usz</t>
    <phoneticPr fontId="2" type="noConversion"/>
  </si>
  <si>
    <t>1818175****</t>
    <phoneticPr fontId="2" type="noConversion"/>
  </si>
  <si>
    <t>科创园街道</t>
    <phoneticPr fontId="2" type="noConversion"/>
  </si>
  <si>
    <t>阿姨找工作</t>
    <phoneticPr fontId="2" type="noConversion"/>
  </si>
  <si>
    <t>2026/12/17不需要</t>
    <phoneticPr fontId="2" type="noConversion"/>
  </si>
  <si>
    <t>陈先飞</t>
    <phoneticPr fontId="2" type="noConversion"/>
  </si>
  <si>
    <t>1518238****</t>
    <phoneticPr fontId="2" type="noConversion"/>
  </si>
  <si>
    <t>做一顿饭</t>
    <phoneticPr fontId="2" type="noConversion"/>
  </si>
  <si>
    <t>服务费太高</t>
    <phoneticPr fontId="2" type="noConversion"/>
  </si>
  <si>
    <r>
      <t>对收取服务费有顾虑，</t>
    </r>
    <r>
      <rPr>
        <sz val="11"/>
        <color rgb="FFFF0000"/>
        <rFont val="宋体"/>
        <family val="3"/>
        <charset val="134"/>
        <scheme val="minor"/>
      </rPr>
      <t>年后再考虑</t>
    </r>
    <phoneticPr fontId="2" type="noConversion"/>
  </si>
  <si>
    <r>
      <rPr>
        <sz val="11"/>
        <color rgb="FFFF0000"/>
        <rFont val="宋体"/>
        <family val="3"/>
        <charset val="134"/>
        <scheme val="minor"/>
      </rPr>
      <t>年后找</t>
    </r>
    <r>
      <rPr>
        <sz val="11"/>
        <color theme="1"/>
        <rFont val="宋体"/>
        <charset val="134"/>
        <scheme val="minor"/>
      </rPr>
      <t xml:space="preserve"> 现在有父母带</t>
    </r>
    <phoneticPr fontId="2" type="noConversion"/>
  </si>
  <si>
    <r>
      <t>12/</t>
    </r>
    <r>
      <rPr>
        <sz val="11"/>
        <color theme="1"/>
        <rFont val="宋体"/>
        <family val="3"/>
        <charset val="134"/>
        <scheme val="minor"/>
      </rPr>
      <t>17</t>
    </r>
    <r>
      <rPr>
        <sz val="11"/>
        <color theme="1"/>
        <rFont val="宋体"/>
        <charset val="134"/>
        <scheme val="minor"/>
      </rPr>
      <t>不接电话，不回微信</t>
    </r>
    <phoneticPr fontId="2" type="noConversion"/>
  </si>
  <si>
    <t>陈老师</t>
    <phoneticPr fontId="2" type="noConversion"/>
  </si>
  <si>
    <t>预备阿姨：王晓菊，刘辉，刘斌华，宋德秀</t>
    <phoneticPr fontId="2" type="noConversion"/>
  </si>
  <si>
    <t>未接通</t>
    <phoneticPr fontId="2" type="noConversion"/>
  </si>
  <si>
    <t>贺贺</t>
    <phoneticPr fontId="2" type="noConversion"/>
  </si>
  <si>
    <t>新线索</t>
    <phoneticPr fontId="2" type="noConversion"/>
  </si>
  <si>
    <t>绵阳</t>
    <phoneticPr fontId="2" type="noConversion"/>
  </si>
  <si>
    <t>陈先生</t>
    <phoneticPr fontId="2" type="noConversion"/>
  </si>
  <si>
    <t>贺贺</t>
    <phoneticPr fontId="2" type="noConversion"/>
  </si>
  <si>
    <t>新线索</t>
    <phoneticPr fontId="2" type="noConversion"/>
  </si>
  <si>
    <t>月嫂，预产期2026.1.20高水</t>
    <phoneticPr fontId="2" type="noConversion"/>
  </si>
  <si>
    <t>已经找到</t>
    <phoneticPr fontId="2" type="noConversion"/>
  </si>
  <si>
    <t>Vera</t>
    <phoneticPr fontId="2" type="noConversion"/>
  </si>
  <si>
    <t>住家育儿嫂</t>
    <phoneticPr fontId="2" type="noConversion"/>
  </si>
  <si>
    <t>1838042****</t>
    <phoneticPr fontId="2" type="noConversion"/>
  </si>
  <si>
    <t>绵阳</t>
    <phoneticPr fontId="2" type="noConversion"/>
  </si>
  <si>
    <t>黄悦</t>
    <phoneticPr fontId="2" type="noConversion"/>
  </si>
  <si>
    <t>住家保姆</t>
    <phoneticPr fontId="2" type="noConversion"/>
  </si>
  <si>
    <t>新康花园</t>
    <phoneticPr fontId="2" type="noConversion"/>
  </si>
  <si>
    <t>二次流转</t>
    <phoneticPr fontId="2" type="noConversion"/>
  </si>
  <si>
    <t>何强</t>
    <phoneticPr fontId="2" type="noConversion"/>
  </si>
  <si>
    <t>钟点工</t>
    <phoneticPr fontId="2" type="noConversion"/>
  </si>
  <si>
    <t>1528090****</t>
    <phoneticPr fontId="2" type="noConversion"/>
  </si>
  <si>
    <t>石塘街道</t>
    <phoneticPr fontId="2" type="noConversion"/>
  </si>
  <si>
    <t>未接通</t>
    <phoneticPr fontId="2" type="noConversion"/>
  </si>
  <si>
    <t>照顾男92岁男老人 走路上厕所需搀扶，女老人自理（春节10天，工资按天150元/天，春节三倍）</t>
    <phoneticPr fontId="2" type="noConversion"/>
  </si>
  <si>
    <t>2位自理老人 女老人手骨折 洗衣做饭打扫卫生，面积200平米 只需要打扫活动区域,短期2个月，之后回福建</t>
    <phoneticPr fontId="2" type="noConversion"/>
  </si>
  <si>
    <t>12/18已经找到了 不需要了</t>
    <phoneticPr fontId="2" type="noConversion"/>
  </si>
  <si>
    <t>12/18已经找到，不需要了</t>
    <phoneticPr fontId="2" type="noConversion"/>
  </si>
  <si>
    <t>陈亚非</t>
    <phoneticPr fontId="2" type="noConversion"/>
  </si>
  <si>
    <t>1911372****</t>
    <phoneticPr fontId="2" type="noConversion"/>
  </si>
  <si>
    <t>高老师</t>
    <phoneticPr fontId="2" type="noConversion"/>
  </si>
  <si>
    <t xml:space="preserve">住家育儿嫂 </t>
    <phoneticPr fontId="2" type="noConversion"/>
  </si>
  <si>
    <t>三台龙树镇</t>
    <phoneticPr fontId="2" type="noConversion"/>
  </si>
  <si>
    <t xml:space="preserve">带一个月子内的宝宝 只带宝宝 不带睡 </t>
    <phoneticPr fontId="2" type="noConversion"/>
  </si>
  <si>
    <t>白班保姆</t>
    <phoneticPr fontId="2" type="noConversion"/>
  </si>
  <si>
    <t>1369629****</t>
    <phoneticPr fontId="2" type="noConversion"/>
  </si>
  <si>
    <t>msfxuk</t>
    <phoneticPr fontId="2" type="noConversion"/>
  </si>
  <si>
    <t>2个月 洗衣做饭打扫卫生，一个人 80平米</t>
    <phoneticPr fontId="2" type="noConversion"/>
  </si>
  <si>
    <t>陆洪源</t>
    <phoneticPr fontId="2" type="noConversion"/>
  </si>
  <si>
    <t>江油</t>
    <phoneticPr fontId="2" type="noConversion"/>
  </si>
  <si>
    <t>1个86岁老年痴呆前兆，辅助洗澡，安静型，面积100平米 洗衣做饭打扫卫生</t>
    <phoneticPr fontId="2" type="noConversion"/>
  </si>
  <si>
    <t>张姐12.29回绵阳</t>
    <phoneticPr fontId="2" type="noConversion"/>
  </si>
  <si>
    <t>贺贺</t>
    <phoneticPr fontId="2" type="noConversion"/>
  </si>
  <si>
    <t>06-hzq</t>
    <phoneticPr fontId="2" type="noConversion"/>
  </si>
  <si>
    <t>住家保姆</t>
    <phoneticPr fontId="2" type="noConversion"/>
  </si>
  <si>
    <t>绵阳</t>
    <phoneticPr fontId="2" type="noConversion"/>
  </si>
  <si>
    <t>女宝 三岁 3-4人中餐 晚餐</t>
    <phoneticPr fontId="2" type="noConversion"/>
  </si>
  <si>
    <t>阳帅</t>
    <phoneticPr fontId="2" type="noConversion"/>
  </si>
  <si>
    <t>钟点工</t>
    <phoneticPr fontId="2" type="noConversion"/>
  </si>
  <si>
    <t>仙海别墅区</t>
    <phoneticPr fontId="2" type="noConversion"/>
  </si>
  <si>
    <t>做一顿中饭，打扫卫生500平米</t>
    <phoneticPr fontId="2" type="noConversion"/>
  </si>
  <si>
    <t>推荐阿姨潘太菊 任小芳</t>
  </si>
  <si>
    <t>爱理发的喻同学</t>
    <phoneticPr fontId="2" type="noConversion"/>
  </si>
  <si>
    <t>白班保姆</t>
    <phoneticPr fontId="2" type="noConversion"/>
  </si>
  <si>
    <t>世贸云景1期</t>
    <phoneticPr fontId="2" type="noConversion"/>
  </si>
  <si>
    <t>爱陪同的樊老板</t>
    <phoneticPr fontId="2" type="noConversion"/>
  </si>
  <si>
    <t>1508215****</t>
    <phoneticPr fontId="2" type="noConversion"/>
  </si>
  <si>
    <t xml:space="preserve">两个自理老人 </t>
    <phoneticPr fontId="2" type="noConversion"/>
  </si>
  <si>
    <t>说到一半  挂了</t>
    <phoneticPr fontId="2" type="noConversion"/>
  </si>
  <si>
    <r>
      <rPr>
        <sz val="11"/>
        <color rgb="FFFF0000"/>
        <rFont val="宋体"/>
        <family val="3"/>
        <charset val="134"/>
        <scheme val="minor"/>
      </rPr>
      <t xml:space="preserve">年后找 </t>
    </r>
    <r>
      <rPr>
        <sz val="11"/>
        <color theme="1"/>
        <rFont val="宋体"/>
        <charset val="134"/>
        <scheme val="minor"/>
      </rPr>
      <t>现在自己带孩子</t>
    </r>
    <phoneticPr fontId="2" type="noConversion"/>
  </si>
  <si>
    <t>转高老师</t>
    <phoneticPr fontId="2" type="noConversion"/>
  </si>
  <si>
    <r>
      <t>1</t>
    </r>
    <r>
      <rPr>
        <sz val="11"/>
        <color theme="1"/>
        <rFont val="宋体"/>
        <family val="3"/>
        <charset val="134"/>
        <scheme val="minor"/>
      </rPr>
      <t>2/19不回微信</t>
    </r>
    <phoneticPr fontId="2" type="noConversion"/>
  </si>
  <si>
    <r>
      <t>1</t>
    </r>
    <r>
      <rPr>
        <sz val="11"/>
        <color theme="1"/>
        <rFont val="宋体"/>
        <family val="3"/>
        <charset val="134"/>
        <scheme val="minor"/>
      </rPr>
      <t>2/19不需要了</t>
    </r>
    <phoneticPr fontId="2" type="noConversion"/>
  </si>
  <si>
    <t>罗女士</t>
    <phoneticPr fontId="2" type="noConversion"/>
  </si>
  <si>
    <t>贺贺</t>
    <phoneticPr fontId="2" type="noConversion"/>
  </si>
  <si>
    <t>陆洪源</t>
    <phoneticPr fontId="2" type="noConversion"/>
  </si>
  <si>
    <t>女老人阿尔茨海默病初期，自理</t>
    <phoneticPr fontId="2" type="noConversion"/>
  </si>
  <si>
    <t>郭朋英</t>
    <phoneticPr fontId="2" type="noConversion"/>
  </si>
  <si>
    <r>
      <t>男宝 2岁 孩子有奶奶带 阿姨洗衣做饭打扫卫生，</t>
    </r>
    <r>
      <rPr>
        <sz val="11"/>
        <color theme="1"/>
        <rFont val="宋体"/>
        <family val="3"/>
        <charset val="134"/>
        <scheme val="minor"/>
      </rPr>
      <t>80平米，</t>
    </r>
    <r>
      <rPr>
        <sz val="11"/>
        <color theme="1"/>
        <rFont val="宋体"/>
        <charset val="134"/>
        <scheme val="minor"/>
      </rPr>
      <t>做宝宝辅食 孩子奶奶的中餐晚餐  春节后找</t>
    </r>
    <r>
      <rPr>
        <sz val="11"/>
        <color theme="1"/>
        <rFont val="宋体"/>
        <family val="3"/>
        <charset val="134"/>
        <scheme val="minor"/>
      </rPr>
      <t xml:space="preserve"> 50以内 身体健康</t>
    </r>
    <phoneticPr fontId="2" type="noConversion"/>
  </si>
  <si>
    <t>12/19屋里老太太不愿意请</t>
    <phoneticPr fontId="2" type="noConversion"/>
  </si>
  <si>
    <t>贺贺</t>
    <phoneticPr fontId="2" type="noConversion"/>
  </si>
  <si>
    <t>爱踏青的聂师傅</t>
    <phoneticPr fontId="2" type="noConversion"/>
  </si>
  <si>
    <t>月嫂</t>
    <phoneticPr fontId="2" type="noConversion"/>
  </si>
  <si>
    <t>1888119****</t>
    <phoneticPr fontId="2" type="noConversion"/>
  </si>
  <si>
    <t>绵阳</t>
    <phoneticPr fontId="2" type="noConversion"/>
  </si>
  <si>
    <t>峥峥老师</t>
    <phoneticPr fontId="2" type="noConversion"/>
  </si>
  <si>
    <t>零度</t>
    <phoneticPr fontId="2" type="noConversion"/>
  </si>
  <si>
    <t>住家保姆</t>
    <phoneticPr fontId="2" type="noConversion"/>
  </si>
  <si>
    <t>1399018****</t>
    <phoneticPr fontId="2" type="noConversion"/>
  </si>
  <si>
    <t>江油</t>
    <phoneticPr fontId="2" type="noConversion"/>
  </si>
  <si>
    <t>12/21暂时不要</t>
    <phoneticPr fontId="2" type="noConversion"/>
  </si>
  <si>
    <t>判官019</t>
    <phoneticPr fontId="2" type="noConversion"/>
  </si>
  <si>
    <t>1858316****</t>
    <phoneticPr fontId="2" type="noConversion"/>
  </si>
  <si>
    <t>贺贺</t>
    <phoneticPr fontId="2" type="noConversion"/>
  </si>
  <si>
    <t>位博士想照顾</t>
    <phoneticPr fontId="2" type="noConversion"/>
  </si>
  <si>
    <t>住家育儿嫂</t>
    <phoneticPr fontId="2" type="noConversion"/>
  </si>
  <si>
    <t>江油</t>
    <phoneticPr fontId="2" type="noConversion"/>
  </si>
  <si>
    <t>住家保姆</t>
    <phoneticPr fontId="2" type="noConversion"/>
  </si>
  <si>
    <t>美立方</t>
    <phoneticPr fontId="2" type="noConversion"/>
  </si>
  <si>
    <t>不需要</t>
    <phoneticPr fontId="2" type="noConversion"/>
  </si>
  <si>
    <t>朱凌志</t>
    <phoneticPr fontId="2" type="noConversion"/>
  </si>
  <si>
    <t>钟点工</t>
    <phoneticPr fontId="2" type="noConversion"/>
  </si>
  <si>
    <t>桃花岛</t>
    <phoneticPr fontId="2" type="noConversion"/>
  </si>
  <si>
    <t>买菜做中午饭三菜一汤，面积100平米，偶尔打扫</t>
    <phoneticPr fontId="2" type="noConversion"/>
  </si>
  <si>
    <t>贺贺</t>
    <phoneticPr fontId="2" type="noConversion"/>
  </si>
  <si>
    <t>银同学想溜冰</t>
    <phoneticPr fontId="2" type="noConversion"/>
  </si>
  <si>
    <t>住家育儿嫂</t>
    <phoneticPr fontId="2" type="noConversion"/>
  </si>
  <si>
    <t>朱先生</t>
    <phoneticPr fontId="2" type="noConversion"/>
  </si>
  <si>
    <t>魏先生</t>
    <phoneticPr fontId="2" type="noConversion"/>
  </si>
  <si>
    <t>青义镇</t>
    <phoneticPr fontId="2" type="noConversion"/>
  </si>
  <si>
    <t>1个月男宝 带睡 长期</t>
    <phoneticPr fontId="2" type="noConversion"/>
  </si>
  <si>
    <t>未接通</t>
    <phoneticPr fontId="2" type="noConversion"/>
  </si>
  <si>
    <t>贺贺</t>
    <phoneticPr fontId="2" type="noConversion"/>
  </si>
  <si>
    <t>严老板爱养猫</t>
    <phoneticPr fontId="2" type="noConversion"/>
  </si>
  <si>
    <t>住家保姆</t>
    <phoneticPr fontId="2" type="noConversion"/>
  </si>
  <si>
    <t>李先生</t>
    <phoneticPr fontId="2" type="noConversion"/>
  </si>
  <si>
    <t>80岁老人截右肢 助行器</t>
    <phoneticPr fontId="2" type="noConversion"/>
  </si>
  <si>
    <t>北川乡镇</t>
    <phoneticPr fontId="2" type="noConversion"/>
  </si>
  <si>
    <t>小岛三期12栋2单元902室</t>
    <phoneticPr fontId="2" type="noConversion"/>
  </si>
  <si>
    <t>照顾两个自理老人，面积80平米，做饭做家务</t>
    <phoneticPr fontId="2" type="noConversion"/>
  </si>
  <si>
    <t>唐金华</t>
    <phoneticPr fontId="2" type="noConversion"/>
  </si>
  <si>
    <t>满意</t>
    <phoneticPr fontId="2" type="noConversion"/>
  </si>
  <si>
    <t>2025/12/22，明年元月与家人商量了再定</t>
    <phoneticPr fontId="2" type="noConversion"/>
  </si>
  <si>
    <t>12/22过两天回家商量</t>
    <phoneticPr fontId="2" type="noConversion"/>
  </si>
  <si>
    <t>用户77436</t>
    <phoneticPr fontId="2" type="noConversion"/>
  </si>
  <si>
    <t>1737860****</t>
    <phoneticPr fontId="2" type="noConversion"/>
  </si>
  <si>
    <t>绵阳</t>
    <phoneticPr fontId="2" type="noConversion"/>
  </si>
  <si>
    <t>点错了 不需要</t>
    <phoneticPr fontId="2" type="noConversion"/>
  </si>
  <si>
    <t>一心为工的古总</t>
    <phoneticPr fontId="2" type="noConversion"/>
  </si>
  <si>
    <t>1398117****</t>
    <phoneticPr fontId="2" type="noConversion"/>
  </si>
  <si>
    <t>12/22报门挂断</t>
    <phoneticPr fontId="2" type="noConversion"/>
  </si>
  <si>
    <t>张女士</t>
    <phoneticPr fontId="2" type="noConversion"/>
  </si>
  <si>
    <t>贺贺</t>
    <phoneticPr fontId="2" type="noConversion"/>
  </si>
  <si>
    <t>用户14242</t>
    <phoneticPr fontId="2" type="noConversion"/>
  </si>
  <si>
    <t>住家保姆</t>
    <phoneticPr fontId="2" type="noConversion"/>
  </si>
  <si>
    <t>绵阳</t>
    <phoneticPr fontId="2" type="noConversion"/>
  </si>
  <si>
    <t>1371518****</t>
    <phoneticPr fontId="2" type="noConversion"/>
  </si>
  <si>
    <t>接通不说话</t>
    <phoneticPr fontId="2" type="noConversion"/>
  </si>
  <si>
    <t>杨锐</t>
    <phoneticPr fontId="2" type="noConversion"/>
  </si>
  <si>
    <t>钟点工</t>
    <phoneticPr fontId="2" type="noConversion"/>
  </si>
  <si>
    <t>1730902****</t>
    <phoneticPr fontId="2" type="noConversion"/>
  </si>
  <si>
    <t>永兴镇</t>
    <phoneticPr fontId="2" type="noConversion"/>
  </si>
  <si>
    <t>不需要</t>
    <phoneticPr fontId="2" type="noConversion"/>
  </si>
  <si>
    <t>黄老板想柔道</t>
    <phoneticPr fontId="2" type="noConversion"/>
  </si>
  <si>
    <t>1308827****</t>
    <phoneticPr fontId="2" type="noConversion"/>
  </si>
  <si>
    <t>城厢街道</t>
    <phoneticPr fontId="2" type="noConversion"/>
  </si>
  <si>
    <t>Connie_ke</t>
    <phoneticPr fontId="2" type="noConversion"/>
  </si>
  <si>
    <t>1878111****</t>
    <phoneticPr fontId="2" type="noConversion"/>
  </si>
  <si>
    <t>工区街道</t>
    <phoneticPr fontId="2" type="noConversion"/>
  </si>
  <si>
    <t>贺贺</t>
    <phoneticPr fontId="2" type="noConversion"/>
  </si>
  <si>
    <t>钟点工</t>
    <phoneticPr fontId="2" type="noConversion"/>
  </si>
  <si>
    <t>爱滑冰的梁老板</t>
    <phoneticPr fontId="2" type="noConversion"/>
  </si>
  <si>
    <t>1734045****</t>
    <phoneticPr fontId="2" type="noConversion"/>
  </si>
  <si>
    <t>游仙街道</t>
    <phoneticPr fontId="2" type="noConversion"/>
  </si>
  <si>
    <t>一个人的午饭</t>
    <phoneticPr fontId="2" type="noConversion"/>
  </si>
  <si>
    <t>王辉</t>
    <phoneticPr fontId="2" type="noConversion"/>
  </si>
  <si>
    <t>白班保姆</t>
    <phoneticPr fontId="2" type="noConversion"/>
  </si>
  <si>
    <t>2-3人的午饭 晚餐  不洗衣打扫</t>
    <phoneticPr fontId="2" type="noConversion"/>
  </si>
  <si>
    <t>王先生</t>
    <phoneticPr fontId="2" type="noConversion"/>
  </si>
  <si>
    <t>陆女士</t>
    <phoneticPr fontId="2" type="noConversion"/>
  </si>
  <si>
    <t>齐文玲</t>
    <phoneticPr fontId="2" type="noConversion"/>
  </si>
  <si>
    <t>新线索</t>
    <phoneticPr fontId="2" type="noConversion"/>
  </si>
  <si>
    <t>小岛花园城12栋2单元902</t>
    <phoneticPr fontId="2" type="noConversion"/>
  </si>
  <si>
    <t>唐金华</t>
    <phoneticPr fontId="2" type="noConversion"/>
  </si>
  <si>
    <t>12/23上户中</t>
    <phoneticPr fontId="2" type="noConversion"/>
  </si>
  <si>
    <t>中沅广场</t>
    <phoneticPr fontId="2" type="noConversion"/>
  </si>
  <si>
    <t>12/23年后接单</t>
    <phoneticPr fontId="2" type="noConversion"/>
  </si>
  <si>
    <t>阳先生</t>
    <phoneticPr fontId="2" type="noConversion"/>
  </si>
  <si>
    <t>自己找到了</t>
    <phoneticPr fontId="2" type="noConversion"/>
  </si>
  <si>
    <t>唐金华上户</t>
    <phoneticPr fontId="2" type="noConversion"/>
  </si>
  <si>
    <t>不需要了</t>
    <phoneticPr fontId="2" type="noConversion"/>
  </si>
  <si>
    <t>12/23家里人自己找了</t>
    <phoneticPr fontId="2" type="noConversion"/>
  </si>
  <si>
    <t>贺贺</t>
    <phoneticPr fontId="2" type="noConversion"/>
  </si>
  <si>
    <t>好心肠杨总</t>
    <phoneticPr fontId="2" type="noConversion"/>
  </si>
  <si>
    <t>白班保姆</t>
    <phoneticPr fontId="2" type="noConversion"/>
  </si>
  <si>
    <t>1915899****</t>
    <phoneticPr fontId="2" type="noConversion"/>
  </si>
  <si>
    <t>江油中坝镇</t>
    <phoneticPr fontId="2" type="noConversion"/>
  </si>
  <si>
    <t>12/24不需要</t>
    <phoneticPr fontId="2" type="noConversion"/>
  </si>
  <si>
    <t>12/24不需要</t>
    <phoneticPr fontId="2" type="noConversion"/>
  </si>
  <si>
    <t>文老师</t>
    <phoneticPr fontId="2" type="noConversion"/>
  </si>
  <si>
    <t>stranger</t>
    <phoneticPr fontId="2" type="noConversion"/>
  </si>
  <si>
    <t>住家育儿嫂</t>
    <phoneticPr fontId="2" type="noConversion"/>
  </si>
  <si>
    <t>1828144****</t>
    <phoneticPr fontId="2" type="noConversion"/>
  </si>
  <si>
    <t>绵阳</t>
    <phoneticPr fontId="2" type="noConversion"/>
  </si>
  <si>
    <t>贺贺</t>
    <phoneticPr fontId="2" type="noConversion"/>
  </si>
  <si>
    <t>女</t>
    <phoneticPr fontId="2" type="noConversion"/>
  </si>
  <si>
    <t>何秋华</t>
    <phoneticPr fontId="2" type="noConversion"/>
  </si>
  <si>
    <t>是</t>
    <phoneticPr fontId="2" type="noConversion"/>
  </si>
  <si>
    <t>住家保姆</t>
    <phoneticPr fontId="2" type="noConversion"/>
  </si>
  <si>
    <t>武昌馆</t>
    <phoneticPr fontId="2" type="noConversion"/>
  </si>
  <si>
    <t>刘秀云</t>
    <phoneticPr fontId="2" type="noConversion"/>
  </si>
  <si>
    <t>晚班保姆</t>
    <phoneticPr fontId="2" type="noConversion"/>
  </si>
  <si>
    <t>欧家坝</t>
    <phoneticPr fontId="2" type="noConversion"/>
  </si>
  <si>
    <t>照顾老人起夜 旁边搭小床</t>
    <phoneticPr fontId="2" type="noConversion"/>
  </si>
  <si>
    <t>贺贺</t>
    <phoneticPr fontId="2" type="noConversion"/>
  </si>
  <si>
    <t>myscisw</t>
    <phoneticPr fontId="2" type="noConversion"/>
  </si>
  <si>
    <t>钟点工</t>
    <phoneticPr fontId="2" type="noConversion"/>
  </si>
  <si>
    <t>九州国际</t>
    <phoneticPr fontId="2" type="noConversion"/>
  </si>
  <si>
    <t>中饭一顿 偶尔买菜</t>
    <phoneticPr fontId="2" type="noConversion"/>
  </si>
  <si>
    <t>文波</t>
    <phoneticPr fontId="2" type="noConversion"/>
  </si>
  <si>
    <t>住家育儿嫂</t>
    <phoneticPr fontId="2" type="noConversion"/>
  </si>
  <si>
    <t>1580811****</t>
    <phoneticPr fontId="2" type="noConversion"/>
  </si>
  <si>
    <t>绵阳</t>
    <phoneticPr fontId="2" type="noConversion"/>
  </si>
  <si>
    <t>12/25已经找到了</t>
    <phoneticPr fontId="2" type="noConversion"/>
  </si>
  <si>
    <t>未接通</t>
    <phoneticPr fontId="2" type="noConversion"/>
  </si>
  <si>
    <t>2200元工资太低，阿姨不接</t>
    <phoneticPr fontId="2" type="noConversion"/>
  </si>
  <si>
    <t>住家保姆</t>
    <phoneticPr fontId="2" type="noConversion"/>
  </si>
  <si>
    <t>1834470****</t>
    <phoneticPr fontId="2" type="noConversion"/>
  </si>
  <si>
    <t>1528099****</t>
    <phoneticPr fontId="2" type="noConversion"/>
  </si>
  <si>
    <t>爱吝惜的沙老板</t>
    <phoneticPr fontId="2" type="noConversion"/>
  </si>
  <si>
    <t>女</t>
    <phoneticPr fontId="2" type="noConversion"/>
  </si>
  <si>
    <t>柳孝珍</t>
    <phoneticPr fontId="2" type="noConversion"/>
  </si>
  <si>
    <t>永昌</t>
    <phoneticPr fontId="2" type="noConversion"/>
  </si>
  <si>
    <t>不需要了</t>
    <phoneticPr fontId="2" type="noConversion"/>
  </si>
  <si>
    <t>青春大概相似</t>
    <phoneticPr fontId="2" type="noConversion"/>
  </si>
  <si>
    <t>1801110****</t>
    <phoneticPr fontId="2" type="noConversion"/>
  </si>
  <si>
    <t>转保洁</t>
    <phoneticPr fontId="2" type="noConversion"/>
  </si>
  <si>
    <t>贺贺</t>
    <phoneticPr fontId="2" type="noConversion"/>
  </si>
  <si>
    <t>一切皆有可能</t>
    <phoneticPr fontId="2" type="noConversion"/>
  </si>
  <si>
    <t>住家保姆</t>
    <phoneticPr fontId="2" type="noConversion"/>
  </si>
  <si>
    <t>绵阳</t>
    <phoneticPr fontId="2" type="noConversion"/>
  </si>
  <si>
    <t>12/25暂时不用</t>
    <phoneticPr fontId="2" type="noConversion"/>
  </si>
  <si>
    <t>目前有老人</t>
    <phoneticPr fontId="2" type="noConversion"/>
  </si>
  <si>
    <t>担心的赵博士</t>
    <phoneticPr fontId="2" type="noConversion"/>
  </si>
  <si>
    <t>白班保姆</t>
    <phoneticPr fontId="2" type="noConversion"/>
  </si>
  <si>
    <t>1302681****</t>
    <phoneticPr fontId="2" type="noConversion"/>
  </si>
  <si>
    <t>4个月女宝宝 奶粉喂养 不带睡 打扫卫生 80平米 做宝妈的饭</t>
    <phoneticPr fontId="2" type="noConversion"/>
  </si>
  <si>
    <t>贺贺</t>
    <phoneticPr fontId="2" type="noConversion"/>
  </si>
  <si>
    <t>用户95221</t>
    <phoneticPr fontId="2" type="noConversion"/>
  </si>
  <si>
    <t>住家保姆</t>
    <phoneticPr fontId="2" type="noConversion"/>
  </si>
  <si>
    <t>1814425****</t>
    <phoneticPr fontId="2" type="noConversion"/>
  </si>
  <si>
    <t>绵阳</t>
    <phoneticPr fontId="2" type="noConversion"/>
  </si>
  <si>
    <t>阿姨找工作</t>
    <phoneticPr fontId="2" type="noConversion"/>
  </si>
  <si>
    <t>rise</t>
    <phoneticPr fontId="2" type="noConversion"/>
  </si>
  <si>
    <t>1808611****</t>
    <phoneticPr fontId="2" type="noConversion"/>
  </si>
  <si>
    <t>不需要</t>
    <phoneticPr fontId="2" type="noConversion"/>
  </si>
  <si>
    <t>刘敏</t>
    <phoneticPr fontId="2" type="noConversion"/>
  </si>
  <si>
    <t>住家育儿嫂</t>
    <phoneticPr fontId="2" type="noConversion"/>
  </si>
  <si>
    <t>1838166****</t>
    <phoneticPr fontId="2" type="noConversion"/>
  </si>
  <si>
    <t>中心医院</t>
    <phoneticPr fontId="2" type="noConversion"/>
  </si>
  <si>
    <t>未接通</t>
    <phoneticPr fontId="2" type="noConversion"/>
  </si>
  <si>
    <t>东鑫877</t>
    <phoneticPr fontId="2" type="noConversion"/>
  </si>
  <si>
    <t>1518232****</t>
    <phoneticPr fontId="2" type="noConversion"/>
  </si>
  <si>
    <t>安州</t>
    <phoneticPr fontId="2" type="noConversion"/>
  </si>
  <si>
    <t>找老伴</t>
    <phoneticPr fontId="2" type="noConversion"/>
  </si>
  <si>
    <t>贺贺</t>
    <phoneticPr fontId="2" type="noConversion"/>
  </si>
  <si>
    <t>晚班保姆</t>
    <phoneticPr fontId="2" type="noConversion"/>
  </si>
  <si>
    <t>游仙东路社区民安路仙梨街4号2幢5单元三楼</t>
    <phoneticPr fontId="2" type="noConversion"/>
  </si>
  <si>
    <t>晚上照顾80多岁女老人起夜</t>
    <phoneticPr fontId="2" type="noConversion"/>
  </si>
  <si>
    <t>李小春</t>
    <phoneticPr fontId="2" type="noConversion"/>
  </si>
  <si>
    <t>满意</t>
    <phoneticPr fontId="2" type="noConversion"/>
  </si>
  <si>
    <t>宋宗文</t>
    <phoneticPr fontId="2" type="noConversion"/>
  </si>
  <si>
    <t>2000/月。由于平台白班保姆最低工资2200元，客户先支付2200元到平台，阿姨第一个月领2200元，第二个月1800元，第三个月2000元</t>
    <phoneticPr fontId="2" type="noConversion"/>
  </si>
  <si>
    <t>寇益会</t>
    <phoneticPr fontId="2" type="noConversion"/>
  </si>
  <si>
    <t>白班育儿嫂</t>
    <phoneticPr fontId="2" type="noConversion"/>
  </si>
  <si>
    <r>
      <t>1</t>
    </r>
    <r>
      <rPr>
        <sz val="11"/>
        <color theme="1"/>
        <rFont val="宋体"/>
        <family val="3"/>
        <charset val="134"/>
        <scheme val="minor"/>
      </rPr>
      <t>878165****</t>
    </r>
    <phoneticPr fontId="2" type="noConversion"/>
  </si>
  <si>
    <t>高老师</t>
    <phoneticPr fontId="2" type="noConversion"/>
  </si>
  <si>
    <t>余杨</t>
    <phoneticPr fontId="2" type="noConversion"/>
  </si>
  <si>
    <t>游仙上谷地</t>
    <phoneticPr fontId="2" type="noConversion"/>
  </si>
  <si>
    <r>
      <t>2</t>
    </r>
    <r>
      <rPr>
        <sz val="11"/>
        <color theme="1"/>
        <rFont val="宋体"/>
        <family val="3"/>
        <charset val="134"/>
        <scheme val="minor"/>
      </rPr>
      <t>4ka78r7k</t>
    </r>
    <phoneticPr fontId="2" type="noConversion"/>
  </si>
  <si>
    <t>住家保姆</t>
    <phoneticPr fontId="2" type="noConversion"/>
  </si>
  <si>
    <t>绵阳</t>
    <phoneticPr fontId="2" type="noConversion"/>
  </si>
  <si>
    <t>转保洁</t>
    <phoneticPr fontId="2" type="noConversion"/>
  </si>
  <si>
    <t>找一个收纳师</t>
    <phoneticPr fontId="2" type="noConversion"/>
  </si>
  <si>
    <t>焦先生</t>
    <phoneticPr fontId="2" type="noConversion"/>
  </si>
  <si>
    <t>宋先生</t>
    <phoneticPr fontId="2" type="noConversion"/>
  </si>
  <si>
    <t>洗衣做饭打扫卫生，照顾80岁出院老人，需搀扶，男老人房间搭一个小床；女老人自理，面积100平米，阿姨住址离客户远一些，阿姨不要有心机，不要总是请假，不要斤斤计较</t>
    <phoneticPr fontId="2" type="noConversion"/>
  </si>
  <si>
    <t>贾德芳上户</t>
    <phoneticPr fontId="2" type="noConversion"/>
  </si>
  <si>
    <t>李小春上户</t>
    <phoneticPr fontId="2" type="noConversion"/>
  </si>
  <si>
    <t>面试郑玉英，史梦兰，卞勇勤</t>
    <phoneticPr fontId="2" type="noConversion"/>
  </si>
  <si>
    <t>4个月女宝宝 奶粉喂养 不带睡 打扫卫生 80平米 做宝妈的中晚饭</t>
    <phoneticPr fontId="2" type="noConversion"/>
  </si>
  <si>
    <t>郑玉英
卞勇勤
史梦兰</t>
    <phoneticPr fontId="2" type="noConversion"/>
  </si>
  <si>
    <r>
      <t>1</t>
    </r>
    <r>
      <rPr>
        <sz val="11"/>
        <color theme="1"/>
        <rFont val="宋体"/>
        <family val="3"/>
        <charset val="134"/>
        <scheme val="minor"/>
      </rPr>
      <t>5892605556
18011108016
15008196548</t>
    </r>
    <phoneticPr fontId="2" type="noConversion"/>
  </si>
  <si>
    <t>对郑玉英满意，服务费有点高</t>
    <phoneticPr fontId="2" type="noConversion"/>
  </si>
  <si>
    <t>满意，但王大哥自己找阿姨</t>
    <phoneticPr fontId="2" type="noConversion"/>
  </si>
  <si>
    <r>
      <t>r</t>
    </r>
    <r>
      <rPr>
        <sz val="11"/>
        <color theme="1"/>
        <rFont val="宋体"/>
        <family val="3"/>
        <charset val="134"/>
        <scheme val="minor"/>
      </rPr>
      <t>dtyb-p2</t>
    </r>
    <phoneticPr fontId="2" type="noConversion"/>
  </si>
  <si>
    <r>
      <t>接送幼儿上下学1</t>
    </r>
    <r>
      <rPr>
        <sz val="11"/>
        <color theme="1"/>
        <rFont val="宋体"/>
        <family val="3"/>
        <charset val="134"/>
        <scheme val="minor"/>
      </rPr>
      <t>.4公里，做中餐 晚餐 洗宝宝衣服 打扫卫生，48岁以内</t>
    </r>
    <phoneticPr fontId="2" type="noConversion"/>
  </si>
  <si>
    <t>凌女士</t>
    <phoneticPr fontId="2" type="noConversion"/>
  </si>
  <si>
    <t>服务费太贵</t>
    <phoneticPr fontId="2" type="noConversion"/>
  </si>
  <si>
    <t>清颜浅笑</t>
    <phoneticPr fontId="2" type="noConversion"/>
  </si>
  <si>
    <t>徐女士</t>
    <phoneticPr fontId="2" type="noConversion"/>
  </si>
  <si>
    <t>白班保姆</t>
    <phoneticPr fontId="2" type="noConversion"/>
  </si>
  <si>
    <t>圣水上江城</t>
    <phoneticPr fontId="2" type="noConversion"/>
  </si>
  <si>
    <t>洗衣做饭打扫卫生，2女娃10岁+2大人，面积100平米，55以内，灵活 家常菜</t>
    <phoneticPr fontId="2" type="noConversion"/>
  </si>
  <si>
    <t>贺贺</t>
    <phoneticPr fontId="2" type="noConversion"/>
  </si>
  <si>
    <t>未接通</t>
    <phoneticPr fontId="2" type="noConversion"/>
  </si>
  <si>
    <t>住家保姆</t>
    <phoneticPr fontId="2" type="noConversion"/>
  </si>
  <si>
    <t>1776008****</t>
    <phoneticPr fontId="2" type="noConversion"/>
  </si>
  <si>
    <t>白班保姆</t>
    <phoneticPr fontId="2" type="noConversion"/>
  </si>
  <si>
    <t>1900289****</t>
    <phoneticPr fontId="2" type="noConversion"/>
  </si>
  <si>
    <t>报门挂断</t>
    <phoneticPr fontId="2" type="noConversion"/>
  </si>
  <si>
    <t>阿姨找工作</t>
    <phoneticPr fontId="2" type="noConversion"/>
  </si>
  <si>
    <t>苏代碧</t>
    <phoneticPr fontId="2" type="noConversion"/>
  </si>
  <si>
    <t>1398127****</t>
    <phoneticPr fontId="2" type="noConversion"/>
  </si>
  <si>
    <t>陈老师</t>
    <phoneticPr fontId="2" type="noConversion"/>
  </si>
  <si>
    <t>王茜</t>
    <phoneticPr fontId="2" type="noConversion"/>
  </si>
  <si>
    <t>年后找</t>
    <phoneticPr fontId="2" type="noConversion"/>
  </si>
  <si>
    <t>贺贺</t>
    <phoneticPr fontId="2" type="noConversion"/>
  </si>
  <si>
    <t>4wmlkz308</t>
    <phoneticPr fontId="2" type="noConversion"/>
  </si>
  <si>
    <t>钟点工</t>
    <phoneticPr fontId="2" type="noConversion"/>
  </si>
  <si>
    <t>工区街道</t>
    <phoneticPr fontId="2" type="noConversion"/>
  </si>
  <si>
    <t>颜怀菊</t>
    <phoneticPr fontId="2" type="noConversion"/>
  </si>
  <si>
    <t>贺贺</t>
    <phoneticPr fontId="2" type="noConversion"/>
  </si>
  <si>
    <t>住家保姆</t>
    <phoneticPr fontId="2" type="noConversion"/>
  </si>
  <si>
    <t>绵阳</t>
    <phoneticPr fontId="2" type="noConversion"/>
  </si>
  <si>
    <t>阿姨找工作</t>
    <phoneticPr fontId="2" type="noConversion"/>
  </si>
  <si>
    <t>phhlnxix2</t>
    <phoneticPr fontId="2" type="noConversion"/>
  </si>
  <si>
    <t>白班育儿嫂</t>
    <phoneticPr fontId="2" type="noConversion"/>
  </si>
  <si>
    <t>1801112****</t>
    <phoneticPr fontId="2" type="noConversion"/>
  </si>
  <si>
    <t>永兴镇</t>
    <phoneticPr fontId="2" type="noConversion"/>
  </si>
  <si>
    <t>12.30报门挂断</t>
    <phoneticPr fontId="2" type="noConversion"/>
  </si>
  <si>
    <t>贺贺</t>
    <phoneticPr fontId="2" type="noConversion"/>
  </si>
  <si>
    <t>用户56068</t>
    <phoneticPr fontId="2" type="noConversion"/>
  </si>
  <si>
    <t>住家保姆</t>
    <phoneticPr fontId="2" type="noConversion"/>
  </si>
  <si>
    <t>绵阳</t>
    <phoneticPr fontId="2" type="noConversion"/>
  </si>
  <si>
    <t>贺贺</t>
    <phoneticPr fontId="2" type="noConversion"/>
  </si>
  <si>
    <t>王飞燕</t>
    <phoneticPr fontId="2" type="noConversion"/>
  </si>
  <si>
    <t>住家保姆</t>
    <phoneticPr fontId="2" type="noConversion"/>
  </si>
  <si>
    <t>绵阳</t>
    <phoneticPr fontId="2" type="noConversion"/>
  </si>
  <si>
    <t>1814256****</t>
    <phoneticPr fontId="2" type="noConversion"/>
  </si>
  <si>
    <t>陆洪源</t>
    <phoneticPr fontId="2" type="noConversion"/>
  </si>
  <si>
    <t>祁文玲</t>
    <phoneticPr fontId="2" type="noConversion"/>
  </si>
  <si>
    <t>余杨</t>
    <phoneticPr fontId="2" type="noConversion"/>
  </si>
  <si>
    <t>那飞凤</t>
    <phoneticPr fontId="2" type="noConversion"/>
  </si>
  <si>
    <t>高老师</t>
    <phoneticPr fontId="2" type="noConversion"/>
  </si>
  <si>
    <t>游仙上谷地2栋1单元1401室</t>
    <phoneticPr fontId="2" type="noConversion"/>
  </si>
  <si>
    <t>郑玉英</t>
    <phoneticPr fontId="2" type="noConversion"/>
  </si>
  <si>
    <t>4200元/月 做得好4500元/月</t>
    <phoneticPr fontId="2" type="noConversion"/>
  </si>
  <si>
    <t>贺贺</t>
    <phoneticPr fontId="2" type="noConversion"/>
  </si>
  <si>
    <t>吴凤娟</t>
    <phoneticPr fontId="2" type="noConversion"/>
  </si>
  <si>
    <t>女</t>
    <phoneticPr fontId="2" type="noConversion"/>
  </si>
  <si>
    <t>住家育儿嫂</t>
    <phoneticPr fontId="2" type="noConversion"/>
  </si>
  <si>
    <t>年后接单</t>
    <phoneticPr fontId="2" type="noConversion"/>
  </si>
  <si>
    <t>向静</t>
    <phoneticPr fontId="2" type="noConversion"/>
  </si>
  <si>
    <t>未接通</t>
    <phoneticPr fontId="2" type="noConversion"/>
  </si>
  <si>
    <t>徐冬梅</t>
    <phoneticPr fontId="2" type="noConversion"/>
  </si>
  <si>
    <t>潘登莲</t>
    <phoneticPr fontId="2" type="noConversion"/>
  </si>
  <si>
    <t>暂时没时间</t>
    <phoneticPr fontId="2" type="noConversion"/>
  </si>
  <si>
    <t>曹相用</t>
    <phoneticPr fontId="2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</si>
  <si>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026.4下户</t>
    </r>
    <phoneticPr fontId="2" type="noConversion"/>
  </si>
  <si>
    <r>
      <t>用户3</t>
    </r>
    <r>
      <rPr>
        <sz val="11"/>
        <color theme="1"/>
        <rFont val="宋体"/>
        <family val="3"/>
        <charset val="134"/>
        <scheme val="minor"/>
      </rPr>
      <t>2006</t>
    </r>
    <phoneticPr fontId="2" type="noConversion"/>
  </si>
  <si>
    <t>钟点工</t>
    <phoneticPr fontId="2" type="noConversion"/>
  </si>
  <si>
    <t>江油蓝润春风9里</t>
    <phoneticPr fontId="2" type="noConversion"/>
  </si>
  <si>
    <t>沙漠一片叶</t>
    <phoneticPr fontId="2" type="noConversion"/>
  </si>
  <si>
    <r>
      <t>1</t>
    </r>
    <r>
      <rPr>
        <sz val="11"/>
        <color theme="1"/>
        <rFont val="宋体"/>
        <family val="3"/>
        <charset val="134"/>
        <scheme val="minor"/>
      </rPr>
      <t>370812****</t>
    </r>
    <phoneticPr fontId="2" type="noConversion"/>
  </si>
  <si>
    <t>绵阳</t>
    <phoneticPr fontId="2" type="noConversion"/>
  </si>
  <si>
    <t>吴双茹</t>
    <phoneticPr fontId="2" type="noConversion"/>
  </si>
  <si>
    <r>
      <t>1</t>
    </r>
    <r>
      <rPr>
        <sz val="11"/>
        <color theme="1"/>
        <rFont val="宋体"/>
        <family val="3"/>
        <charset val="134"/>
        <scheme val="minor"/>
      </rPr>
      <t>801158****</t>
    </r>
    <phoneticPr fontId="2" type="noConversion"/>
  </si>
  <si>
    <t>工区街道</t>
    <phoneticPr fontId="2" type="noConversion"/>
  </si>
  <si>
    <t>暂时不需要</t>
    <phoneticPr fontId="2" type="noConversion"/>
  </si>
  <si>
    <t>纪总要摇晃</t>
    <phoneticPr fontId="2" type="noConversion"/>
  </si>
  <si>
    <t>成都武侯区</t>
    <phoneticPr fontId="2" type="noConversion"/>
  </si>
  <si>
    <t>新生儿洗头洗澡 清理头痂 产妇按摩2026.5需要 每天2小时 预算100元/时</t>
    <phoneticPr fontId="2" type="noConversion"/>
  </si>
  <si>
    <t>贺贺</t>
    <phoneticPr fontId="2" type="noConversion"/>
  </si>
  <si>
    <t>住家保姆</t>
    <phoneticPr fontId="2" type="noConversion"/>
  </si>
  <si>
    <t>彭女士</t>
    <phoneticPr fontId="2" type="noConversion"/>
  </si>
  <si>
    <t>绵阳</t>
    <phoneticPr fontId="2" type="noConversion"/>
  </si>
  <si>
    <t>转品类-保洁</t>
    <phoneticPr fontId="2" type="noConversion"/>
  </si>
  <si>
    <t>贺贺</t>
    <phoneticPr fontId="2" type="noConversion"/>
  </si>
  <si>
    <t>王凤清</t>
    <phoneticPr fontId="2" type="noConversion"/>
  </si>
  <si>
    <t>女</t>
    <phoneticPr fontId="2" type="noConversion"/>
  </si>
  <si>
    <t>住家保姆</t>
    <phoneticPr fontId="2" type="noConversion"/>
  </si>
  <si>
    <t>14天后下户</t>
    <phoneticPr fontId="2" type="noConversion"/>
  </si>
  <si>
    <t>10天后下户</t>
    <phoneticPr fontId="2" type="noConversion"/>
  </si>
  <si>
    <t>应凤琼</t>
    <phoneticPr fontId="2" type="noConversion"/>
  </si>
  <si>
    <t>现在帮亲戚看超市 年后联系</t>
    <phoneticPr fontId="2" type="noConversion"/>
  </si>
  <si>
    <t>刘德容</t>
    <phoneticPr fontId="2" type="noConversion"/>
  </si>
  <si>
    <t>年后接单</t>
    <phoneticPr fontId="2" type="noConversion"/>
  </si>
  <si>
    <t>住家育儿嫂</t>
    <phoneticPr fontId="2" type="noConversion"/>
  </si>
  <si>
    <t>接一岁以上宝宝的单</t>
    <phoneticPr fontId="2" type="noConversion"/>
  </si>
  <si>
    <t>王婷</t>
    <phoneticPr fontId="2" type="noConversion"/>
  </si>
  <si>
    <t>做菜好看好吃，年后接单</t>
    <phoneticPr fontId="2" type="noConversion"/>
  </si>
  <si>
    <t>邓香琼</t>
    <phoneticPr fontId="2" type="noConversion"/>
  </si>
  <si>
    <t>陈建蓉</t>
    <phoneticPr fontId="2" type="noConversion"/>
  </si>
  <si>
    <t>陈金凤</t>
    <phoneticPr fontId="2" type="noConversion"/>
  </si>
  <si>
    <t>上户中</t>
    <phoneticPr fontId="2" type="noConversion"/>
  </si>
  <si>
    <t>9月份之后有空</t>
    <phoneticPr fontId="2" type="noConversion"/>
  </si>
  <si>
    <t>贾晓利</t>
    <phoneticPr fontId="2" type="noConversion"/>
  </si>
  <si>
    <t>陈小琼</t>
    <phoneticPr fontId="2" type="noConversion"/>
  </si>
  <si>
    <t>贺贺</t>
    <phoneticPr fontId="2" type="noConversion"/>
  </si>
  <si>
    <t>庞小芳</t>
    <phoneticPr fontId="2" type="noConversion"/>
  </si>
  <si>
    <t>女</t>
    <phoneticPr fontId="2" type="noConversion"/>
  </si>
  <si>
    <t>住家保姆</t>
    <phoneticPr fontId="2" type="noConversion"/>
  </si>
  <si>
    <t>1332064****</t>
    <phoneticPr fontId="2" type="noConversion"/>
  </si>
  <si>
    <t>tefemia3k</t>
    <phoneticPr fontId="2" type="noConversion"/>
  </si>
  <si>
    <t>绵阳</t>
    <phoneticPr fontId="2" type="noConversion"/>
  </si>
  <si>
    <t>未接通</t>
    <phoneticPr fontId="2" type="noConversion"/>
  </si>
  <si>
    <t>塘汛</t>
    <phoneticPr fontId="2" type="noConversion"/>
  </si>
  <si>
    <t>A</t>
    <phoneticPr fontId="2" type="noConversion"/>
  </si>
  <si>
    <t>女老人83岁自理，男老人85岁老年痴呆，情绪稳定，需要提醒上厕所，大便需要擦屁股，协助洗澡，面积79平米，洗衣做饭打扫卫生</t>
    <phoneticPr fontId="2" type="noConversion"/>
  </si>
  <si>
    <t>C</t>
    <phoneticPr fontId="2" type="noConversion"/>
  </si>
  <si>
    <t>1398927****</t>
    <phoneticPr fontId="2" type="noConversion"/>
  </si>
  <si>
    <t>不需要</t>
    <phoneticPr fontId="2" type="noConversion"/>
  </si>
  <si>
    <t>蒋蓉</t>
    <phoneticPr fontId="2" type="noConversion"/>
  </si>
  <si>
    <t>B</t>
    <phoneticPr fontId="2" type="noConversion"/>
  </si>
  <si>
    <t>钟点工</t>
    <phoneticPr fontId="2" type="noConversion"/>
  </si>
  <si>
    <t>1568118****</t>
    <phoneticPr fontId="2" type="noConversion"/>
  </si>
  <si>
    <t>普明接单</t>
    <phoneticPr fontId="2" type="noConversion"/>
  </si>
  <si>
    <t>现在忙</t>
    <phoneticPr fontId="2" type="noConversion"/>
  </si>
  <si>
    <t>有见解-康老板</t>
    <phoneticPr fontId="2" type="noConversion"/>
  </si>
  <si>
    <t>住家育儿嫂</t>
    <phoneticPr fontId="2" type="noConversion"/>
  </si>
  <si>
    <t>1832834****</t>
    <phoneticPr fontId="2" type="noConversion"/>
  </si>
  <si>
    <t>7点送3岁男宝宝上学，5点接孩子放学 生病需要照看孩子，寒假在托班</t>
    <phoneticPr fontId="2" type="noConversion"/>
  </si>
  <si>
    <t>下午钟点工 一顿饭+洗衣服做饭</t>
    <phoneticPr fontId="2" type="noConversion"/>
  </si>
  <si>
    <t>贺贺</t>
    <phoneticPr fontId="2" type="noConversion"/>
  </si>
  <si>
    <t>欧阳博士</t>
    <phoneticPr fontId="2" type="noConversion"/>
  </si>
  <si>
    <t>A</t>
    <phoneticPr fontId="2" type="noConversion"/>
  </si>
  <si>
    <t>钟点工</t>
    <phoneticPr fontId="2" type="noConversion"/>
  </si>
  <si>
    <t>园艺山天和上品</t>
    <phoneticPr fontId="2" type="noConversion"/>
  </si>
  <si>
    <t>接送1岁多娃娃，早7-9，晚5-8，双休+法定，2000一个月</t>
    <phoneticPr fontId="2" type="noConversion"/>
  </si>
  <si>
    <t>马女士</t>
    <phoneticPr fontId="2" type="noConversion"/>
  </si>
  <si>
    <t>1.5不需要</t>
    <phoneticPr fontId="2" type="noConversion"/>
  </si>
  <si>
    <t>月嫂</t>
    <phoneticPr fontId="2" type="noConversion"/>
  </si>
  <si>
    <r>
      <rPr>
        <sz val="11"/>
        <color rgb="FFFF0000"/>
        <rFont val="宋体"/>
        <family val="3"/>
        <charset val="134"/>
        <scheme val="minor"/>
      </rPr>
      <t>6月份需要</t>
    </r>
    <r>
      <rPr>
        <sz val="11"/>
        <color theme="1"/>
        <rFont val="宋体"/>
        <charset val="134"/>
        <scheme val="minor"/>
      </rPr>
      <t>住家保姆</t>
    </r>
    <phoneticPr fontId="2" type="noConversion"/>
  </si>
  <si>
    <t>6月份跟进</t>
    <phoneticPr fontId="2" type="noConversion"/>
  </si>
  <si>
    <t>钱总想预防</t>
    <phoneticPr fontId="2" type="noConversion"/>
  </si>
  <si>
    <r>
      <t>1</t>
    </r>
    <r>
      <rPr>
        <sz val="11"/>
        <color theme="1"/>
        <rFont val="宋体"/>
        <family val="3"/>
        <charset val="134"/>
        <scheme val="minor"/>
      </rPr>
      <t>878169****</t>
    </r>
    <phoneticPr fontId="2" type="noConversion"/>
  </si>
  <si>
    <t>绵阳</t>
    <phoneticPr fontId="2" type="noConversion"/>
  </si>
  <si>
    <t>未接通</t>
    <phoneticPr fontId="2" type="noConversion"/>
  </si>
  <si>
    <t>肖述英</t>
    <phoneticPr fontId="2" type="noConversion"/>
  </si>
  <si>
    <t>C</t>
    <phoneticPr fontId="2" type="noConversion"/>
  </si>
  <si>
    <t>住家保姆</t>
    <phoneticPr fontId="2" type="noConversion"/>
  </si>
  <si>
    <r>
      <t>1</t>
    </r>
    <r>
      <rPr>
        <sz val="11"/>
        <color theme="1"/>
        <rFont val="宋体"/>
        <family val="3"/>
        <charset val="134"/>
        <scheme val="minor"/>
      </rPr>
      <t>898100****</t>
    </r>
    <phoneticPr fontId="2" type="noConversion"/>
  </si>
  <si>
    <t>紫色风铃</t>
    <phoneticPr fontId="2" type="noConversion"/>
  </si>
  <si>
    <t>B</t>
    <phoneticPr fontId="2" type="noConversion"/>
  </si>
  <si>
    <t>刘女士</t>
    <phoneticPr fontId="2" type="noConversion"/>
  </si>
  <si>
    <t>铁路家属区</t>
    <phoneticPr fontId="2" type="noConversion"/>
  </si>
  <si>
    <r>
      <t>9</t>
    </r>
    <r>
      <rPr>
        <sz val="11"/>
        <color theme="1"/>
        <rFont val="宋体"/>
        <family val="3"/>
        <charset val="134"/>
        <scheme val="minor"/>
      </rPr>
      <t>0岁女老人，戴呼吸机，面积60平米，阿姨有单独房间，洗衣做饭打扫卫生照顾老人</t>
    </r>
    <phoneticPr fontId="2" type="noConversion"/>
  </si>
  <si>
    <t>1/5暂时不需要</t>
    <phoneticPr fontId="2" type="noConversion"/>
  </si>
  <si>
    <t>玲玲老师</t>
    <phoneticPr fontId="2" type="noConversion"/>
  </si>
  <si>
    <t>张晓</t>
    <phoneticPr fontId="2" type="noConversion"/>
  </si>
  <si>
    <t>香榭丽</t>
    <phoneticPr fontId="2" type="noConversion"/>
  </si>
  <si>
    <t xml:space="preserve">洗衣服做饭，3-4人的饭，面积140平米，都是大人不需要天天打扫 </t>
    <phoneticPr fontId="2" type="noConversion"/>
  </si>
  <si>
    <r>
      <t>1</t>
    </r>
    <r>
      <rPr>
        <sz val="11"/>
        <color theme="1"/>
        <rFont val="宋体"/>
        <family val="3"/>
        <charset val="134"/>
        <scheme val="minor"/>
      </rPr>
      <t>.5不需要</t>
    </r>
    <phoneticPr fontId="2" type="noConversion"/>
  </si>
  <si>
    <t>蒋成容</t>
    <phoneticPr fontId="2" type="noConversion"/>
  </si>
  <si>
    <t>女老人83岁自理，男老人85岁老年痴呆，情绪稳定，需要提醒上厕所，大便需要擦屁股，协助洗澡，面积79平米，洗衣做饭打扫卫生</t>
    <phoneticPr fontId="2" type="noConversion"/>
  </si>
  <si>
    <t>陈建蓉</t>
    <phoneticPr fontId="2" type="noConversion"/>
  </si>
  <si>
    <t>塘汛</t>
    <phoneticPr fontId="2" type="noConversion"/>
  </si>
  <si>
    <t>张萍</t>
    <phoneticPr fontId="2" type="noConversion"/>
  </si>
  <si>
    <t>满意，客户觉得服务费有点贵</t>
    <phoneticPr fontId="2" type="noConversion"/>
  </si>
  <si>
    <t>住家育儿嫂</t>
    <phoneticPr fontId="2" type="noConversion"/>
  </si>
  <si>
    <t>江油</t>
    <phoneticPr fontId="2" type="noConversion"/>
  </si>
  <si>
    <t>刚出生的宝宝 带睡 预产期1.10</t>
    <phoneticPr fontId="2" type="noConversion"/>
  </si>
  <si>
    <t>刚出生的宝宝 带睡 预产期1.10</t>
    <phoneticPr fontId="2" type="noConversion"/>
  </si>
  <si>
    <t>陈素芳</t>
    <phoneticPr fontId="2" type="noConversion"/>
  </si>
  <si>
    <t>满意</t>
    <phoneticPr fontId="2" type="noConversion"/>
  </si>
  <si>
    <t>贺贺</t>
    <phoneticPr fontId="2" type="noConversion"/>
  </si>
  <si>
    <t>爱拉练的崔总</t>
    <phoneticPr fontId="2" type="noConversion"/>
  </si>
  <si>
    <t>住家保姆</t>
    <phoneticPr fontId="2" type="noConversion"/>
  </si>
  <si>
    <t>1576043****</t>
    <phoneticPr fontId="2" type="noConversion"/>
  </si>
  <si>
    <t>绵阳</t>
    <phoneticPr fontId="2" type="noConversion"/>
  </si>
  <si>
    <t>ymgkd-f3</t>
    <phoneticPr fontId="2" type="noConversion"/>
  </si>
  <si>
    <t>D</t>
    <phoneticPr fontId="2" type="noConversion"/>
  </si>
  <si>
    <t>钟点工</t>
    <phoneticPr fontId="2" type="noConversion"/>
  </si>
  <si>
    <t>1886873****</t>
    <phoneticPr fontId="2" type="noConversion"/>
  </si>
  <si>
    <t>城南御郡</t>
    <phoneticPr fontId="2" type="noConversion"/>
  </si>
  <si>
    <t>点错了，不需要</t>
    <phoneticPr fontId="2" type="noConversion"/>
  </si>
  <si>
    <t>转介绍60岁以上阿姨给她</t>
    <phoneticPr fontId="2" type="noConversion"/>
  </si>
  <si>
    <t>D</t>
    <phoneticPr fontId="2" type="noConversion"/>
  </si>
  <si>
    <t>不需要 亲戚在帮忙</t>
    <phoneticPr fontId="2" type="noConversion"/>
  </si>
  <si>
    <t>贺贺</t>
    <phoneticPr fontId="2" type="noConversion"/>
  </si>
  <si>
    <t>槛外人</t>
    <phoneticPr fontId="2" type="noConversion"/>
  </si>
  <si>
    <t>A</t>
    <phoneticPr fontId="2" type="noConversion"/>
  </si>
  <si>
    <t>住家保姆</t>
    <phoneticPr fontId="2" type="noConversion"/>
  </si>
  <si>
    <t>小枧</t>
    <phoneticPr fontId="2" type="noConversion"/>
  </si>
  <si>
    <t>带睡2岁宝宝，卫生打扫干净，2大人+小孩餐食，2月1日需要，暂定3个月</t>
    <phoneticPr fontId="2" type="noConversion"/>
  </si>
  <si>
    <t>爱交流的钟师傅</t>
    <phoneticPr fontId="2" type="noConversion"/>
  </si>
  <si>
    <t>住家育儿嫂</t>
    <phoneticPr fontId="2" type="noConversion"/>
  </si>
  <si>
    <t>阮女士</t>
    <phoneticPr fontId="2" type="noConversion"/>
  </si>
  <si>
    <t>曹女士</t>
    <phoneticPr fontId="2" type="noConversion"/>
  </si>
  <si>
    <t>3个月男宝 20号要去重庆德阳</t>
    <phoneticPr fontId="2" type="noConversion"/>
  </si>
  <si>
    <t>绵阳德阳重庆</t>
    <phoneticPr fontId="2" type="noConversion"/>
  </si>
  <si>
    <t>fp43yjk6z</t>
    <phoneticPr fontId="2" type="noConversion"/>
  </si>
  <si>
    <t>1518165****</t>
    <phoneticPr fontId="2" type="noConversion"/>
  </si>
  <si>
    <t>暂时不找，只是看看</t>
    <phoneticPr fontId="2" type="noConversion"/>
  </si>
  <si>
    <t>绵阳</t>
    <phoneticPr fontId="2" type="noConversion"/>
  </si>
  <si>
    <t>贺贺</t>
    <phoneticPr fontId="2" type="noConversion"/>
  </si>
  <si>
    <t>憨憨祝X总</t>
    <phoneticPr fontId="2" type="noConversion"/>
  </si>
  <si>
    <t>钟点工</t>
    <phoneticPr fontId="2" type="noConversion"/>
  </si>
  <si>
    <t>游仙街道</t>
    <phoneticPr fontId="2" type="noConversion"/>
  </si>
  <si>
    <t>做一顿中饭 ，需要半个月</t>
    <phoneticPr fontId="2" type="noConversion"/>
  </si>
  <si>
    <t>转高老师</t>
    <phoneticPr fontId="2" type="noConversion"/>
  </si>
  <si>
    <t>李代康</t>
    <phoneticPr fontId="2" type="noConversion"/>
  </si>
  <si>
    <t>用户32006</t>
    <phoneticPr fontId="2" type="noConversion"/>
  </si>
  <si>
    <t>陈亦丹</t>
    <phoneticPr fontId="2" type="noConversion"/>
  </si>
  <si>
    <t>江油</t>
    <phoneticPr fontId="2" type="noConversion"/>
  </si>
  <si>
    <t>下午3-7点，洗衣做饭打扫卫生</t>
    <phoneticPr fontId="2" type="noConversion"/>
  </si>
  <si>
    <t>安秀和</t>
    <phoneticPr fontId="2" type="noConversion"/>
  </si>
  <si>
    <t>满意</t>
    <phoneticPr fontId="2" type="noConversion"/>
  </si>
  <si>
    <r>
      <t>客户个人原因，家里老公老人不同意找阿姨，想把找阿姨的钱给亲戚，1/5已退款，郑玉华三天工资已结</t>
    </r>
    <r>
      <rPr>
        <sz val="11"/>
        <color theme="1"/>
        <rFont val="宋体"/>
        <family val="3"/>
        <charset val="134"/>
        <scheme val="minor"/>
      </rPr>
      <t>484元</t>
    </r>
    <phoneticPr fontId="2" type="noConversion"/>
  </si>
  <si>
    <r>
      <t>江油春风九里6栋</t>
    </r>
    <r>
      <rPr>
        <sz val="11"/>
        <color theme="1"/>
        <rFont val="宋体"/>
        <family val="3"/>
        <charset val="134"/>
        <scheme val="minor"/>
      </rPr>
      <t>1单元903</t>
    </r>
    <phoneticPr fontId="2" type="noConversion"/>
  </si>
  <si>
    <r>
      <t>2</t>
    </r>
    <r>
      <rPr>
        <sz val="11"/>
        <color theme="1"/>
        <rFont val="宋体"/>
        <family val="3"/>
        <charset val="134"/>
        <scheme val="minor"/>
      </rPr>
      <t>000元/月</t>
    </r>
    <phoneticPr fontId="2" type="noConversion"/>
  </si>
  <si>
    <t>贺贺</t>
    <phoneticPr fontId="2" type="noConversion"/>
  </si>
  <si>
    <t>周桥</t>
    <phoneticPr fontId="2" type="noConversion"/>
  </si>
  <si>
    <t>C</t>
    <phoneticPr fontId="2" type="noConversion"/>
  </si>
  <si>
    <t>B</t>
    <phoneticPr fontId="2" type="noConversion"/>
  </si>
  <si>
    <t>钟点工</t>
    <phoneticPr fontId="2" type="noConversion"/>
  </si>
  <si>
    <t>1738199****</t>
    <phoneticPr fontId="2" type="noConversion"/>
  </si>
  <si>
    <t>江油清新巷</t>
    <phoneticPr fontId="2" type="noConversion"/>
  </si>
  <si>
    <t>袁乾芝</t>
    <phoneticPr fontId="2" type="noConversion"/>
  </si>
  <si>
    <t>女</t>
    <phoneticPr fontId="2" type="noConversion"/>
  </si>
  <si>
    <t>白班/住家保姆</t>
    <phoneticPr fontId="2" type="noConversion"/>
  </si>
  <si>
    <t>白班永兴界牌</t>
    <phoneticPr fontId="2" type="noConversion"/>
  </si>
  <si>
    <t>王越笙</t>
    <phoneticPr fontId="2" type="noConversion"/>
  </si>
  <si>
    <t>A</t>
    <phoneticPr fontId="2" type="noConversion"/>
  </si>
  <si>
    <t>住家育儿嫂</t>
    <phoneticPr fontId="2" type="noConversion"/>
  </si>
  <si>
    <t>住家保姆</t>
    <phoneticPr fontId="2" type="noConversion"/>
  </si>
  <si>
    <t>洗衣做饭打扫卫生，辅助带3岁宝宝 送6岁宝宝上学 会开车 面积140平米 有独立房间</t>
    <phoneticPr fontId="2" type="noConversion"/>
  </si>
  <si>
    <t>徐蒙</t>
    <phoneticPr fontId="2" type="noConversion"/>
  </si>
  <si>
    <t>福临 大都会</t>
    <phoneticPr fontId="2" type="noConversion"/>
  </si>
  <si>
    <t>大洋（王越笙）</t>
    <phoneticPr fontId="2" type="noConversion"/>
  </si>
  <si>
    <t>高新区世贸云景</t>
    <phoneticPr fontId="2" type="noConversion"/>
  </si>
  <si>
    <t>洗衣做饭打扫卫生，面积140平米，辅助带3岁女娃，送6岁女宝上学</t>
    <phoneticPr fontId="2" type="noConversion"/>
  </si>
  <si>
    <t>徐桃英</t>
    <phoneticPr fontId="2" type="noConversion"/>
  </si>
  <si>
    <t>满意 想试工</t>
    <phoneticPr fontId="2" type="noConversion"/>
  </si>
  <si>
    <t>不需要</t>
    <phoneticPr fontId="2" type="noConversion"/>
  </si>
  <si>
    <t>C</t>
    <phoneticPr fontId="2" type="noConversion"/>
  </si>
  <si>
    <t>贺贺</t>
    <phoneticPr fontId="2" type="noConversion"/>
  </si>
  <si>
    <t>聂会琼</t>
  </si>
  <si>
    <t>女</t>
    <phoneticPr fontId="2" type="noConversion"/>
  </si>
  <si>
    <t>江油市贯山镇</t>
  </si>
  <si>
    <t>白班育儿嫂/月嫂</t>
    <phoneticPr fontId="2" type="noConversion"/>
  </si>
  <si>
    <t>D</t>
    <phoneticPr fontId="2" type="noConversion"/>
  </si>
  <si>
    <t>住家保姆</t>
    <phoneticPr fontId="2" type="noConversion"/>
  </si>
  <si>
    <t>三台</t>
    <phoneticPr fontId="2" type="noConversion"/>
  </si>
  <si>
    <t>保洁-转品类</t>
    <phoneticPr fontId="2" type="noConversion"/>
  </si>
  <si>
    <t>赵菊英</t>
    <phoneticPr fontId="2" type="noConversion"/>
  </si>
  <si>
    <t>住家育儿嫂</t>
    <phoneticPr fontId="2" type="noConversion"/>
  </si>
  <si>
    <t>许蓉</t>
    <phoneticPr fontId="2" type="noConversion"/>
  </si>
  <si>
    <t>王德菊</t>
    <phoneticPr fontId="2" type="noConversion"/>
  </si>
  <si>
    <t>赖华琼</t>
    <phoneticPr fontId="2" type="noConversion"/>
  </si>
  <si>
    <t>年后接单 简历好看</t>
    <phoneticPr fontId="2" type="noConversion"/>
  </si>
  <si>
    <t>左翠琼</t>
    <phoneticPr fontId="2" type="noConversion"/>
  </si>
  <si>
    <t>徐清容</t>
    <phoneticPr fontId="2" type="noConversion"/>
  </si>
  <si>
    <t>年后三月份有空</t>
    <phoneticPr fontId="2" type="noConversion"/>
  </si>
  <si>
    <t>何艳</t>
    <phoneticPr fontId="2" type="noConversion"/>
  </si>
  <si>
    <t>做菜好看</t>
    <phoneticPr fontId="2" type="noConversion"/>
  </si>
  <si>
    <t>付玉琼</t>
    <phoneticPr fontId="2" type="noConversion"/>
  </si>
  <si>
    <t>杨米容</t>
    <phoneticPr fontId="2" type="noConversion"/>
  </si>
  <si>
    <t>A</t>
    <phoneticPr fontId="2" type="noConversion"/>
  </si>
  <si>
    <t>气吞山河桂师傅</t>
    <phoneticPr fontId="2" type="noConversion"/>
  </si>
  <si>
    <t>白班育儿嫂</t>
    <phoneticPr fontId="2" type="noConversion"/>
  </si>
  <si>
    <t>赖女士</t>
    <phoneticPr fontId="2" type="noConversion"/>
  </si>
  <si>
    <t>涪城区毅德商贸城</t>
  </si>
  <si>
    <t>5个月宝宝 奶粉喂养 中午做婆婆一顿饭</t>
    <phoneticPr fontId="2" type="noConversion"/>
  </si>
  <si>
    <t>贺贺</t>
    <phoneticPr fontId="2" type="noConversion"/>
  </si>
  <si>
    <t>杜刚</t>
    <phoneticPr fontId="2" type="noConversion"/>
  </si>
  <si>
    <t>C</t>
    <phoneticPr fontId="2" type="noConversion"/>
  </si>
  <si>
    <t>住家保姆</t>
    <phoneticPr fontId="2" type="noConversion"/>
  </si>
  <si>
    <t>1372285****</t>
    <phoneticPr fontId="2" type="noConversion"/>
  </si>
  <si>
    <t>绵阳</t>
    <phoneticPr fontId="2" type="noConversion"/>
  </si>
  <si>
    <t>秒挂</t>
    <phoneticPr fontId="2" type="noConversion"/>
  </si>
  <si>
    <t>故事未完</t>
    <phoneticPr fontId="2" type="noConversion"/>
  </si>
  <si>
    <t>白班保姆</t>
    <phoneticPr fontId="2" type="noConversion"/>
  </si>
  <si>
    <t>1507065****</t>
    <phoneticPr fontId="2" type="noConversion"/>
  </si>
  <si>
    <t>碧桂园 绵州府</t>
    <phoneticPr fontId="2" type="noConversion"/>
  </si>
  <si>
    <t>不需要</t>
    <phoneticPr fontId="2" type="noConversion"/>
  </si>
  <si>
    <t>槛外人</t>
    <phoneticPr fontId="2" type="noConversion"/>
  </si>
  <si>
    <t>住家育儿嫂</t>
    <phoneticPr fontId="2" type="noConversion"/>
  </si>
  <si>
    <t>曹女士</t>
    <phoneticPr fontId="2" type="noConversion"/>
  </si>
  <si>
    <t>小枧附近</t>
    <phoneticPr fontId="2" type="noConversion"/>
  </si>
  <si>
    <t>带睡2岁男宝宝，早晚餐简单做，洗衣服打扫卫生</t>
    <phoneticPr fontId="2" type="noConversion"/>
  </si>
  <si>
    <t>谢桂兰
蒋富东</t>
    <phoneticPr fontId="2" type="noConversion"/>
  </si>
  <si>
    <t>15984698388
18855341585</t>
    <phoneticPr fontId="2" type="noConversion"/>
  </si>
  <si>
    <t>公海</t>
    <phoneticPr fontId="2" type="noConversion"/>
  </si>
  <si>
    <t>yxqki_f8</t>
    <phoneticPr fontId="2" type="noConversion"/>
  </si>
  <si>
    <t>B</t>
    <phoneticPr fontId="2" type="noConversion"/>
  </si>
  <si>
    <t>江油</t>
    <phoneticPr fontId="2" type="noConversion"/>
  </si>
  <si>
    <r>
      <t>8</t>
    </r>
    <r>
      <rPr>
        <sz val="11"/>
        <color theme="1"/>
        <rFont val="宋体"/>
        <family val="3"/>
        <charset val="134"/>
        <scheme val="minor"/>
      </rPr>
      <t xml:space="preserve">5岁老人 自理 </t>
    </r>
    <phoneticPr fontId="2" type="noConversion"/>
  </si>
  <si>
    <t>年后需要</t>
    <phoneticPr fontId="2" type="noConversion"/>
  </si>
  <si>
    <t>贺贺</t>
    <phoneticPr fontId="2" type="noConversion"/>
  </si>
  <si>
    <t>D</t>
    <phoneticPr fontId="2" type="noConversion"/>
  </si>
  <si>
    <t>钟点工</t>
    <phoneticPr fontId="2" type="noConversion"/>
  </si>
  <si>
    <t>雨女士</t>
    <phoneticPr fontId="2" type="noConversion"/>
  </si>
  <si>
    <t>游仙</t>
    <phoneticPr fontId="2" type="noConversion"/>
  </si>
  <si>
    <t>阿姨工资高+服务费贵，纠结找哪种类型的阿姨</t>
    <phoneticPr fontId="2" type="noConversion"/>
  </si>
  <si>
    <t>贺贺</t>
    <phoneticPr fontId="2" type="noConversion"/>
  </si>
  <si>
    <t>u浅笑马同学</t>
    <phoneticPr fontId="2" type="noConversion"/>
  </si>
  <si>
    <t>钟点工</t>
    <phoneticPr fontId="2" type="noConversion"/>
  </si>
  <si>
    <t>1311818****</t>
    <phoneticPr fontId="2" type="noConversion"/>
  </si>
  <si>
    <t>塘汛</t>
    <phoneticPr fontId="2" type="noConversion"/>
  </si>
  <si>
    <t>报门挂断</t>
    <phoneticPr fontId="2" type="noConversion"/>
  </si>
  <si>
    <t>C</t>
    <phoneticPr fontId="2" type="noConversion"/>
  </si>
  <si>
    <t>刘晓兰</t>
    <phoneticPr fontId="2" type="noConversion"/>
  </si>
  <si>
    <t>女</t>
    <phoneticPr fontId="2" type="noConversion"/>
  </si>
  <si>
    <t>住家保姆</t>
    <phoneticPr fontId="2" type="noConversion"/>
  </si>
  <si>
    <t>胡春兰</t>
    <phoneticPr fontId="2" type="noConversion"/>
  </si>
  <si>
    <t>陈总要宣传</t>
    <phoneticPr fontId="2" type="noConversion"/>
  </si>
  <si>
    <t>住家育儿嫂</t>
    <phoneticPr fontId="2" type="noConversion"/>
  </si>
  <si>
    <t>1821578****</t>
    <phoneticPr fontId="2" type="noConversion"/>
  </si>
  <si>
    <t>绵阳</t>
    <phoneticPr fontId="2" type="noConversion"/>
  </si>
  <si>
    <t>月底下户</t>
    <phoneticPr fontId="2" type="noConversion"/>
  </si>
  <si>
    <t>苟宗丽</t>
    <phoneticPr fontId="2" type="noConversion"/>
  </si>
  <si>
    <t>宋竞</t>
    <phoneticPr fontId="2" type="noConversion"/>
  </si>
  <si>
    <t>邱露</t>
    <phoneticPr fontId="2" type="noConversion"/>
  </si>
  <si>
    <t>陈凤</t>
    <phoneticPr fontId="2" type="noConversion"/>
  </si>
  <si>
    <t>李秀荣</t>
    <phoneticPr fontId="2" type="noConversion"/>
  </si>
  <si>
    <t>再打</t>
    <phoneticPr fontId="2" type="noConversion"/>
  </si>
  <si>
    <t>邱琴</t>
    <phoneticPr fontId="2" type="noConversion"/>
  </si>
  <si>
    <t>何成琴</t>
    <phoneticPr fontId="2" type="noConversion"/>
  </si>
  <si>
    <t>上户</t>
    <phoneticPr fontId="2" type="noConversion"/>
  </si>
  <si>
    <t>朱菊红</t>
    <phoneticPr fontId="2" type="noConversion"/>
  </si>
  <si>
    <t>刘冬梅</t>
  </si>
  <si>
    <t>年后接单</t>
    <phoneticPr fontId="2" type="noConversion"/>
  </si>
  <si>
    <t>杨艾</t>
    <phoneticPr fontId="2" type="noConversion"/>
  </si>
  <si>
    <t>李天玉</t>
    <phoneticPr fontId="2" type="noConversion"/>
  </si>
  <si>
    <t>上户，在接单群</t>
    <phoneticPr fontId="2" type="noConversion"/>
  </si>
  <si>
    <t>不留微信 ，说没有必要</t>
    <phoneticPr fontId="2" type="noConversion"/>
  </si>
  <si>
    <t>刘继容</t>
    <phoneticPr fontId="2" type="noConversion"/>
  </si>
  <si>
    <t>李维秀</t>
    <phoneticPr fontId="2" type="noConversion"/>
  </si>
  <si>
    <t>南湖</t>
    <phoneticPr fontId="2" type="noConversion"/>
  </si>
  <si>
    <t>钟点工</t>
    <phoneticPr fontId="2" type="noConversion"/>
  </si>
  <si>
    <t>住家保姆</t>
    <phoneticPr fontId="2" type="noConversion"/>
  </si>
  <si>
    <t>高先生</t>
    <phoneticPr fontId="2" type="noConversion"/>
  </si>
  <si>
    <t>A</t>
    <phoneticPr fontId="2" type="noConversion"/>
  </si>
  <si>
    <t>贺辉</t>
    <phoneticPr fontId="2" type="noConversion"/>
  </si>
  <si>
    <t>上户上午班</t>
    <phoneticPr fontId="2" type="noConversion"/>
  </si>
  <si>
    <t>涂蓉华</t>
    <phoneticPr fontId="2" type="noConversion"/>
  </si>
  <si>
    <t>新百盛附近</t>
    <phoneticPr fontId="2" type="noConversion"/>
  </si>
  <si>
    <t>张彩英</t>
    <phoneticPr fontId="2" type="noConversion"/>
  </si>
  <si>
    <t>廖筱萍</t>
    <phoneticPr fontId="2" type="noConversion"/>
  </si>
  <si>
    <t>晚点联系她</t>
    <phoneticPr fontId="2" type="noConversion"/>
  </si>
  <si>
    <t>小枧</t>
    <phoneticPr fontId="2" type="noConversion"/>
  </si>
  <si>
    <t>女</t>
    <phoneticPr fontId="2" type="noConversion"/>
  </si>
  <si>
    <t>赵珍</t>
    <phoneticPr fontId="2" type="noConversion"/>
  </si>
  <si>
    <t>三江半岛</t>
    <phoneticPr fontId="2" type="noConversion"/>
  </si>
  <si>
    <t>邓敏</t>
    <phoneticPr fontId="2" type="noConversion"/>
  </si>
  <si>
    <t>上午班</t>
    <phoneticPr fontId="2" type="noConversion"/>
  </si>
  <si>
    <t>余艳</t>
    <phoneticPr fontId="2" type="noConversion"/>
  </si>
  <si>
    <t>绵州水郡</t>
    <phoneticPr fontId="2" type="noConversion"/>
  </si>
  <si>
    <t>年后接单</t>
    <phoneticPr fontId="2" type="noConversion"/>
  </si>
  <si>
    <t>汪佳瑜</t>
    <phoneticPr fontId="2" type="noConversion"/>
  </si>
  <si>
    <t>杨丽芳</t>
    <phoneticPr fontId="2" type="noConversion"/>
  </si>
  <si>
    <t>经开区</t>
    <phoneticPr fontId="2" type="noConversion"/>
  </si>
  <si>
    <t>潘长碧</t>
    <phoneticPr fontId="2" type="noConversion"/>
  </si>
  <si>
    <t>文情</t>
    <phoneticPr fontId="2" type="noConversion"/>
  </si>
  <si>
    <t>王顶琼</t>
    <phoneticPr fontId="2" type="noConversion"/>
  </si>
  <si>
    <t>腰痛</t>
    <phoneticPr fontId="2" type="noConversion"/>
  </si>
  <si>
    <t>爱装修的焦总</t>
    <phoneticPr fontId="2" type="noConversion"/>
  </si>
  <si>
    <t>绵阳顾连康复医院</t>
    <phoneticPr fontId="2" type="noConversion"/>
  </si>
  <si>
    <t>陪护50岁脑梗女老人做康复，喂饭洗头洗澡</t>
    <phoneticPr fontId="2" type="noConversion"/>
  </si>
  <si>
    <t>贺贺</t>
    <phoneticPr fontId="2" type="noConversion"/>
  </si>
  <si>
    <t>王嘉</t>
    <phoneticPr fontId="2" type="noConversion"/>
  </si>
  <si>
    <t>B</t>
    <phoneticPr fontId="2" type="noConversion"/>
  </si>
  <si>
    <t>王先生</t>
    <phoneticPr fontId="2" type="noConversion"/>
  </si>
  <si>
    <t>钟点工</t>
    <phoneticPr fontId="2" type="noConversion"/>
  </si>
  <si>
    <t>花该镇</t>
    <phoneticPr fontId="2" type="noConversion"/>
  </si>
  <si>
    <t>贺小庆</t>
    <phoneticPr fontId="2" type="noConversion"/>
  </si>
  <si>
    <t>女</t>
    <phoneticPr fontId="2" type="noConversion"/>
  </si>
  <si>
    <t>住家育儿嫂</t>
    <phoneticPr fontId="2" type="noConversion"/>
  </si>
  <si>
    <t>长期+价格高</t>
    <phoneticPr fontId="2" type="noConversion"/>
  </si>
  <si>
    <t>住家保姆</t>
    <phoneticPr fontId="2" type="noConversion"/>
  </si>
  <si>
    <t>1801112****</t>
    <phoneticPr fontId="2" type="noConversion"/>
  </si>
  <si>
    <t>绵阳</t>
    <phoneticPr fontId="2" type="noConversion"/>
  </si>
  <si>
    <t xml:space="preserve"> 会开车 接送高中生 2-3个人的 饭 做饭做家务</t>
    <phoneticPr fontId="2" type="noConversion"/>
  </si>
  <si>
    <t>2026.7需要</t>
    <phoneticPr fontId="2" type="noConversion"/>
  </si>
  <si>
    <t>李连成</t>
    <phoneticPr fontId="2" type="noConversion"/>
  </si>
  <si>
    <t>6500以上</t>
    <phoneticPr fontId="2" type="noConversion"/>
  </si>
  <si>
    <t>李代康</t>
    <phoneticPr fontId="2" type="noConversion"/>
  </si>
  <si>
    <t>江油蔚来城鹭湖15栋2单元1103室</t>
    <phoneticPr fontId="2" type="noConversion"/>
  </si>
  <si>
    <t>陈素芳</t>
    <phoneticPr fontId="2" type="noConversion"/>
  </si>
  <si>
    <t>5000元/月</t>
    <phoneticPr fontId="2" type="noConversion"/>
  </si>
  <si>
    <t>贺贺</t>
    <phoneticPr fontId="2" type="noConversion"/>
  </si>
  <si>
    <t>满意</t>
    <phoneticPr fontId="2" type="noConversion"/>
  </si>
  <si>
    <t>住家保姆</t>
    <phoneticPr fontId="2" type="noConversion"/>
  </si>
  <si>
    <t>高先生</t>
    <phoneticPr fontId="2" type="noConversion"/>
  </si>
  <si>
    <t>绵阳顾连康复医院</t>
    <phoneticPr fontId="2" type="noConversion"/>
  </si>
  <si>
    <t>照顾脑梗康复患者</t>
    <phoneticPr fontId="2" type="noConversion"/>
  </si>
  <si>
    <t>谢涛</t>
    <phoneticPr fontId="2" type="noConversion"/>
  </si>
  <si>
    <t>没有选上 客户选了对上家阿姨</t>
    <phoneticPr fontId="2" type="noConversion"/>
  </si>
  <si>
    <t>贺贺</t>
    <phoneticPr fontId="2" type="noConversion"/>
  </si>
  <si>
    <t>女</t>
    <phoneticPr fontId="2" type="noConversion"/>
  </si>
  <si>
    <t>颜怀菊</t>
    <phoneticPr fontId="2" type="noConversion"/>
  </si>
  <si>
    <t>目前腰痛</t>
    <phoneticPr fontId="2" type="noConversion"/>
  </si>
  <si>
    <t>许秋分</t>
    <phoneticPr fontId="2" type="noConversion"/>
  </si>
  <si>
    <t>年后接单</t>
    <phoneticPr fontId="2" type="noConversion"/>
  </si>
  <si>
    <t>住家保姆</t>
    <phoneticPr fontId="2" type="noConversion"/>
  </si>
  <si>
    <t>燕子</t>
    <phoneticPr fontId="2" type="noConversion"/>
  </si>
  <si>
    <t>B</t>
    <phoneticPr fontId="2" type="noConversion"/>
  </si>
  <si>
    <t>A</t>
    <phoneticPr fontId="2" type="noConversion"/>
  </si>
  <si>
    <t>胡女士</t>
    <phoneticPr fontId="2" type="noConversion"/>
  </si>
  <si>
    <t>3536小区</t>
    <phoneticPr fontId="2" type="noConversion"/>
  </si>
  <si>
    <t xml:space="preserve">谢琴 </t>
    <phoneticPr fontId="2" type="noConversion"/>
  </si>
  <si>
    <t>育儿嫂</t>
    <phoneticPr fontId="2" type="noConversion"/>
  </si>
  <si>
    <t>A</t>
    <phoneticPr fontId="2" type="noConversion"/>
  </si>
  <si>
    <t>夏晓华</t>
    <phoneticPr fontId="2" type="noConversion"/>
  </si>
  <si>
    <t>住家保姆</t>
    <phoneticPr fontId="2" type="noConversion"/>
  </si>
  <si>
    <t>科园社区</t>
    <phoneticPr fontId="2" type="noConversion"/>
  </si>
  <si>
    <t>照顾97岁自理老人</t>
    <phoneticPr fontId="2" type="noConversion"/>
  </si>
  <si>
    <t>袁乾芝</t>
    <phoneticPr fontId="2" type="noConversion"/>
  </si>
  <si>
    <t>贺贺</t>
    <phoneticPr fontId="2" type="noConversion"/>
  </si>
  <si>
    <t>满意</t>
    <phoneticPr fontId="2" type="noConversion"/>
  </si>
  <si>
    <t>肖凤琼</t>
    <phoneticPr fontId="2" type="noConversion"/>
  </si>
  <si>
    <t>贺贺</t>
    <phoneticPr fontId="2" type="noConversion"/>
  </si>
  <si>
    <t>满头银发戚总</t>
    <phoneticPr fontId="2" type="noConversion"/>
  </si>
  <si>
    <t>住家保姆</t>
    <phoneticPr fontId="2" type="noConversion"/>
  </si>
  <si>
    <t>1890901****</t>
    <phoneticPr fontId="2" type="noConversion"/>
  </si>
  <si>
    <t>绵阳</t>
    <phoneticPr fontId="2" type="noConversion"/>
  </si>
  <si>
    <t>wnm85</t>
    <phoneticPr fontId="2" type="noConversion"/>
  </si>
  <si>
    <t>B</t>
    <phoneticPr fontId="2" type="noConversion"/>
  </si>
  <si>
    <t>80岁男老人 自理 搀扶 看着</t>
    <phoneticPr fontId="2" type="noConversion"/>
  </si>
  <si>
    <t>水清清</t>
    <phoneticPr fontId="2" type="noConversion"/>
  </si>
  <si>
    <t>1878168****</t>
    <phoneticPr fontId="2" type="noConversion"/>
  </si>
  <si>
    <t>用户60461</t>
    <phoneticPr fontId="2" type="noConversion"/>
  </si>
  <si>
    <t>绵阳三台</t>
    <phoneticPr fontId="2" type="noConversion"/>
  </si>
  <si>
    <t xml:space="preserve">两个老人 自理 女老人生病没什么力气 做饭做家务 </t>
    <phoneticPr fontId="2" type="noConversion"/>
  </si>
  <si>
    <t>李雪</t>
    <phoneticPr fontId="2" type="noConversion"/>
  </si>
  <si>
    <t>C</t>
    <phoneticPr fontId="2" type="noConversion"/>
  </si>
  <si>
    <t>1522872****</t>
    <phoneticPr fontId="2" type="noConversion"/>
  </si>
  <si>
    <t>已找到</t>
    <phoneticPr fontId="2" type="noConversion"/>
  </si>
  <si>
    <t>许欣怡</t>
    <phoneticPr fontId="2" type="noConversion"/>
  </si>
  <si>
    <t>钟点工</t>
    <phoneticPr fontId="2" type="noConversion"/>
  </si>
  <si>
    <t>1776550****</t>
    <phoneticPr fontId="2" type="noConversion"/>
  </si>
  <si>
    <t>不需要</t>
    <phoneticPr fontId="2" type="noConversion"/>
  </si>
  <si>
    <t>曹霞</t>
    <phoneticPr fontId="2" type="noConversion"/>
  </si>
  <si>
    <t>绵阳市大河村路66号阳光城江山悦16栋2单元401</t>
    <phoneticPr fontId="2" type="noConversion"/>
  </si>
  <si>
    <t>文情</t>
    <phoneticPr fontId="2" type="noConversion"/>
  </si>
  <si>
    <r>
      <t>2</t>
    </r>
    <r>
      <rPr>
        <sz val="11"/>
        <color theme="1"/>
        <rFont val="宋体"/>
        <family val="3"/>
        <charset val="134"/>
        <scheme val="minor"/>
      </rPr>
      <t>200元/月</t>
    </r>
    <phoneticPr fontId="2" type="noConversion"/>
  </si>
  <si>
    <t>夏晓华</t>
    <phoneticPr fontId="2" type="noConversion"/>
  </si>
  <si>
    <r>
      <t>科园社区1区</t>
    </r>
    <r>
      <rPr>
        <sz val="11"/>
        <color theme="1"/>
        <rFont val="宋体"/>
        <family val="3"/>
        <charset val="134"/>
        <scheme val="minor"/>
      </rPr>
      <t>26栋7单元101</t>
    </r>
    <phoneticPr fontId="2" type="noConversion"/>
  </si>
  <si>
    <r>
      <t>钟点工：上午9</t>
    </r>
    <r>
      <rPr>
        <sz val="11"/>
        <color theme="1"/>
        <rFont val="宋体"/>
        <family val="3"/>
        <charset val="134"/>
        <scheme val="minor"/>
      </rPr>
      <t>-13点，</t>
    </r>
    <r>
      <rPr>
        <sz val="11"/>
        <color theme="1"/>
        <rFont val="宋体"/>
        <charset val="134"/>
        <scheme val="minor"/>
      </rPr>
      <t>做中饭打扫卫生</t>
    </r>
    <phoneticPr fontId="2" type="noConversion"/>
  </si>
  <si>
    <t xml:space="preserve">住家育儿嫂：照顾新生儿 </t>
    <phoneticPr fontId="2" type="noConversion"/>
  </si>
  <si>
    <r>
      <t>钟点工：下午1</t>
    </r>
    <r>
      <rPr>
        <sz val="11"/>
        <color theme="1"/>
        <rFont val="宋体"/>
        <family val="3"/>
        <charset val="134"/>
        <scheme val="minor"/>
      </rPr>
      <t>5-19</t>
    </r>
    <r>
      <rPr>
        <sz val="11"/>
        <color theme="1"/>
        <rFont val="宋体"/>
        <charset val="134"/>
        <scheme val="minor"/>
      </rPr>
      <t>点，洗衣做饭打扫卫生</t>
    </r>
    <phoneticPr fontId="2" type="noConversion"/>
  </si>
  <si>
    <t>住家育儿嫂：照顾5个月宝宝 做宝妈两顿饭</t>
    <phoneticPr fontId="2" type="noConversion"/>
  </si>
  <si>
    <t>夜班保姆：晚上照顾80多岁女老人起夜</t>
    <phoneticPr fontId="2" type="noConversion"/>
  </si>
  <si>
    <t>住家保姆：照顾两个自理老人，洗衣做饭打扫卫生</t>
    <phoneticPr fontId="2" type="noConversion"/>
  </si>
  <si>
    <t>订单类型</t>
    <phoneticPr fontId="2" type="noConversion"/>
  </si>
  <si>
    <t>住家保姆</t>
    <phoneticPr fontId="2" type="noConversion"/>
  </si>
  <si>
    <t>夜班保姆</t>
    <phoneticPr fontId="2" type="noConversion"/>
  </si>
  <si>
    <t>住家育儿嫂</t>
    <phoneticPr fontId="2" type="noConversion"/>
  </si>
  <si>
    <t>钟点工</t>
    <phoneticPr fontId="2" type="noConversion"/>
  </si>
  <si>
    <r>
      <t>照顾9</t>
    </r>
    <r>
      <rPr>
        <sz val="11"/>
        <color theme="1"/>
        <rFont val="宋体"/>
        <family val="3"/>
        <charset val="134"/>
        <scheme val="minor"/>
      </rPr>
      <t>7岁自理女老人 做饭做家务</t>
    </r>
    <phoneticPr fontId="2" type="noConversion"/>
  </si>
  <si>
    <t>袁乾芝</t>
    <phoneticPr fontId="2" type="noConversion"/>
  </si>
  <si>
    <r>
      <t>3</t>
    </r>
    <r>
      <rPr>
        <sz val="11"/>
        <color theme="1"/>
        <rFont val="宋体"/>
        <family val="3"/>
        <charset val="134"/>
        <scheme val="minor"/>
      </rPr>
      <t>300元/月</t>
    </r>
    <phoneticPr fontId="2" type="noConversion"/>
  </si>
  <si>
    <t>桑娟</t>
    <phoneticPr fontId="2" type="noConversion"/>
  </si>
  <si>
    <t>白班保姆</t>
    <phoneticPr fontId="2" type="noConversion"/>
  </si>
  <si>
    <t>南湖</t>
    <phoneticPr fontId="2" type="noConversion"/>
  </si>
  <si>
    <t>女</t>
    <phoneticPr fontId="2" type="noConversion"/>
  </si>
  <si>
    <t>经开区</t>
    <phoneticPr fontId="2" type="noConversion"/>
  </si>
  <si>
    <t>钟点工</t>
    <phoneticPr fontId="2" type="noConversion"/>
  </si>
  <si>
    <t>可接晚班</t>
    <phoneticPr fontId="2" type="noConversion"/>
  </si>
  <si>
    <t>胥燕军</t>
    <phoneticPr fontId="2" type="noConversion"/>
  </si>
  <si>
    <t>马蓉</t>
    <phoneticPr fontId="2" type="noConversion"/>
  </si>
  <si>
    <t>高新区</t>
    <phoneticPr fontId="2" type="noConversion"/>
  </si>
  <si>
    <t>张红艳</t>
    <phoneticPr fontId="2" type="noConversion"/>
  </si>
  <si>
    <t>徐云蓉</t>
    <phoneticPr fontId="2" type="noConversion"/>
  </si>
  <si>
    <t>园艺山</t>
    <phoneticPr fontId="2" type="noConversion"/>
  </si>
  <si>
    <t>孩子放假就下户</t>
    <phoneticPr fontId="2" type="noConversion"/>
  </si>
  <si>
    <t>贺贺</t>
    <phoneticPr fontId="2" type="noConversion"/>
  </si>
  <si>
    <t>A</t>
    <phoneticPr fontId="2" type="noConversion"/>
  </si>
  <si>
    <t>青莲镇</t>
    <phoneticPr fontId="2" type="noConversion"/>
  </si>
  <si>
    <t>59岁风湿男人，洗脸洗脚 做饭做家务</t>
    <phoneticPr fontId="2" type="noConversion"/>
  </si>
  <si>
    <t>高老师</t>
    <phoneticPr fontId="2" type="noConversion"/>
  </si>
  <si>
    <t>坚毅不拔牛博士</t>
    <phoneticPr fontId="2" type="noConversion"/>
  </si>
  <si>
    <t>1319866****</t>
    <phoneticPr fontId="2" type="noConversion"/>
  </si>
  <si>
    <t>小枧</t>
    <phoneticPr fontId="2" type="noConversion"/>
  </si>
  <si>
    <t>曾国斌</t>
    <phoneticPr fontId="2" type="noConversion"/>
  </si>
  <si>
    <t>融创九阙府</t>
    <phoneticPr fontId="2" type="noConversion"/>
  </si>
  <si>
    <t>85岁男老人刚出院 上厕所需辅助 80女老人自理 面积140平米 做饭做家务 中饭2个人晚饭4个人</t>
    <phoneticPr fontId="2" type="noConversion"/>
  </si>
  <si>
    <t>住家保姆</t>
    <phoneticPr fontId="2" type="noConversion"/>
  </si>
  <si>
    <t>1500815****</t>
    <phoneticPr fontId="2" type="noConversion"/>
  </si>
  <si>
    <t>绵阳</t>
    <phoneticPr fontId="2" type="noConversion"/>
  </si>
  <si>
    <t>4k1gg</t>
    <phoneticPr fontId="2" type="noConversion"/>
  </si>
  <si>
    <t>1888111****</t>
    <phoneticPr fontId="2" type="noConversion"/>
  </si>
  <si>
    <t>未接通</t>
    <phoneticPr fontId="2" type="noConversion"/>
  </si>
  <si>
    <t>780zukvcr</t>
    <phoneticPr fontId="2" type="noConversion"/>
  </si>
  <si>
    <t>绵州水郡</t>
    <phoneticPr fontId="2" type="noConversion"/>
  </si>
  <si>
    <t>只做中饭和晚饭  年纪要50以内</t>
    <phoneticPr fontId="2" type="noConversion"/>
  </si>
  <si>
    <t>C</t>
    <phoneticPr fontId="2" type="noConversion"/>
  </si>
  <si>
    <t>推李秀玉</t>
    <phoneticPr fontId="2" type="noConversion"/>
  </si>
  <si>
    <t>张天容</t>
    <phoneticPr fontId="2" type="noConversion"/>
  </si>
  <si>
    <t>苏涛</t>
    <phoneticPr fontId="2" type="noConversion"/>
  </si>
  <si>
    <t>江油市青莲镇兰陵巷7号</t>
    <phoneticPr fontId="2" type="noConversion"/>
  </si>
  <si>
    <t>白班保姆</t>
    <phoneticPr fontId="2" type="noConversion"/>
  </si>
  <si>
    <t>照顾69岁男老人 做饭做家务 洗脸洗脚</t>
    <phoneticPr fontId="2" type="noConversion"/>
  </si>
  <si>
    <t>陈海萍</t>
    <phoneticPr fontId="2" type="noConversion"/>
  </si>
  <si>
    <t>3000元/月</t>
    <phoneticPr fontId="2" type="noConversion"/>
  </si>
  <si>
    <t>贺贺老师</t>
    <phoneticPr fontId="2" type="noConversion"/>
  </si>
  <si>
    <t>C</t>
    <phoneticPr fontId="2" type="noConversion"/>
  </si>
  <si>
    <t>未接通</t>
    <phoneticPr fontId="2" type="noConversion"/>
  </si>
  <si>
    <t>签单，阿姨陈海萍</t>
    <phoneticPr fontId="2" type="noConversion"/>
  </si>
  <si>
    <r>
      <t xml:space="preserve">推谢涛：13881180545
</t>
    </r>
    <r>
      <rPr>
        <sz val="11"/>
        <color rgb="FFFF0000"/>
        <rFont val="宋体"/>
        <family val="3"/>
        <charset val="134"/>
        <scheme val="minor"/>
      </rPr>
      <t>已经签约其它公司</t>
    </r>
    <phoneticPr fontId="2" type="noConversion"/>
  </si>
  <si>
    <t>签约，阿姨袁乾芝</t>
    <phoneticPr fontId="2" type="noConversion"/>
  </si>
  <si>
    <t>签约，阿姨陈素芳</t>
    <phoneticPr fontId="2" type="noConversion"/>
  </si>
  <si>
    <t>不接受服务费</t>
    <phoneticPr fontId="2" type="noConversion"/>
  </si>
  <si>
    <t>马先生</t>
    <phoneticPr fontId="2" type="noConversion"/>
  </si>
  <si>
    <t>买菜 给80多岁老人做午饭 打扫卫生,长虹国际城</t>
    <phoneticPr fontId="2" type="noConversion"/>
  </si>
  <si>
    <t>1/5暂时不需要</t>
    <phoneticPr fontId="2" type="noConversion"/>
  </si>
  <si>
    <t>签约，阿姨安秀合</t>
    <phoneticPr fontId="2" type="noConversion"/>
  </si>
  <si>
    <t>匹配不到</t>
    <phoneticPr fontId="2" type="noConversion"/>
  </si>
  <si>
    <r>
      <rPr>
        <sz val="11"/>
        <color rgb="FFFF0000"/>
        <rFont val="宋体"/>
        <family val="3"/>
        <charset val="134"/>
        <scheme val="minor"/>
      </rPr>
      <t>1/14 年后需要</t>
    </r>
    <r>
      <rPr>
        <sz val="11"/>
        <color theme="1"/>
        <rFont val="宋体"/>
        <charset val="134"/>
        <scheme val="minor"/>
      </rPr>
      <t>推朱桂蓉，刘晓兰 姜蓉 赵德会</t>
    </r>
    <phoneticPr fontId="2" type="noConversion"/>
  </si>
  <si>
    <t>签约，阿姨文情</t>
    <phoneticPr fontId="2" type="noConversion"/>
  </si>
  <si>
    <r>
      <t>1</t>
    </r>
    <r>
      <rPr>
        <sz val="11"/>
        <color theme="1"/>
        <rFont val="宋体"/>
        <family val="3"/>
        <charset val="134"/>
        <scheme val="minor"/>
      </rPr>
      <t>/14暂时不找</t>
    </r>
    <phoneticPr fontId="2" type="noConversion"/>
  </si>
  <si>
    <r>
      <t>1</t>
    </r>
    <r>
      <rPr>
        <sz val="11"/>
        <color theme="1"/>
        <rFont val="宋体"/>
        <family val="3"/>
        <charset val="134"/>
        <scheme val="minor"/>
      </rPr>
      <t>/14,暂时不需要</t>
    </r>
    <phoneticPr fontId="2" type="noConversion"/>
  </si>
  <si>
    <t>爱拿捏的景老板</t>
    <phoneticPr fontId="2" type="noConversion"/>
  </si>
  <si>
    <t>月嫂</t>
    <phoneticPr fontId="2" type="noConversion"/>
  </si>
  <si>
    <t>绵阳</t>
    <phoneticPr fontId="2" type="noConversion"/>
  </si>
  <si>
    <t>月嫂 1.15就需要</t>
    <phoneticPr fontId="2" type="noConversion"/>
  </si>
  <si>
    <t>爱旅行的屈老板</t>
    <phoneticPr fontId="2" type="noConversion"/>
  </si>
  <si>
    <t>住家保姆</t>
    <phoneticPr fontId="2" type="noConversion"/>
  </si>
  <si>
    <t>1315886****</t>
    <phoneticPr fontId="2" type="noConversion"/>
  </si>
  <si>
    <t>绵阳</t>
    <phoneticPr fontId="2" type="noConversion"/>
  </si>
  <si>
    <t>刘平</t>
    <phoneticPr fontId="2" type="noConversion"/>
  </si>
  <si>
    <t>白班保姆</t>
    <phoneticPr fontId="2" type="noConversion"/>
  </si>
  <si>
    <t>1326529****</t>
    <phoneticPr fontId="2" type="noConversion"/>
  </si>
  <si>
    <t>贺贺</t>
    <phoneticPr fontId="2" type="noConversion"/>
  </si>
  <si>
    <t>任小芳</t>
    <phoneticPr fontId="2" type="noConversion"/>
  </si>
  <si>
    <t>白班 钟点工</t>
    <phoneticPr fontId="2" type="noConversion"/>
  </si>
  <si>
    <t>游仙</t>
    <phoneticPr fontId="2" type="noConversion"/>
  </si>
  <si>
    <t>刘艳</t>
    <phoneticPr fontId="2" type="noConversion"/>
  </si>
  <si>
    <t>月嫂</t>
    <phoneticPr fontId="2" type="noConversion"/>
  </si>
  <si>
    <t>预产期2026.7</t>
    <phoneticPr fontId="2" type="noConversion"/>
  </si>
  <si>
    <t>杨女士</t>
    <phoneticPr fontId="2" type="noConversion"/>
  </si>
  <si>
    <t>la91r7qkn</t>
    <phoneticPr fontId="2" type="noConversion"/>
  </si>
  <si>
    <t>钟点工</t>
    <phoneticPr fontId="2" type="noConversion"/>
  </si>
  <si>
    <t>1588163****</t>
    <phoneticPr fontId="2" type="noConversion"/>
  </si>
  <si>
    <t>科创园街道</t>
    <phoneticPr fontId="2" type="noConversion"/>
  </si>
  <si>
    <t>已经找到</t>
    <phoneticPr fontId="2" type="noConversion"/>
  </si>
  <si>
    <t>住家保姆</t>
    <phoneticPr fontId="2" type="noConversion"/>
  </si>
  <si>
    <t>贺贺</t>
    <phoneticPr fontId="2" type="noConversion"/>
  </si>
  <si>
    <t>白班保姆</t>
    <phoneticPr fontId="2" type="noConversion"/>
  </si>
  <si>
    <t xml:space="preserve"> 女</t>
    <phoneticPr fontId="2" type="noConversion"/>
  </si>
  <si>
    <t>梁水琼</t>
    <phoneticPr fontId="2" type="noConversion"/>
  </si>
  <si>
    <t>贺贺</t>
    <phoneticPr fontId="2" type="noConversion"/>
  </si>
  <si>
    <t>年后</t>
    <phoneticPr fontId="2" type="noConversion"/>
  </si>
  <si>
    <t>胡秀芬</t>
    <phoneticPr fontId="2" type="noConversion"/>
  </si>
  <si>
    <t>住家保姆</t>
    <phoneticPr fontId="2" type="noConversion"/>
  </si>
  <si>
    <t>绵阳</t>
    <phoneticPr fontId="2" type="noConversion"/>
  </si>
  <si>
    <t>用户78098</t>
    <phoneticPr fontId="2" type="noConversion"/>
  </si>
  <si>
    <t>1858227****</t>
    <phoneticPr fontId="2" type="noConversion"/>
  </si>
  <si>
    <t>未接通</t>
    <phoneticPr fontId="2" type="noConversion"/>
  </si>
  <si>
    <t>女</t>
    <phoneticPr fontId="2" type="noConversion"/>
  </si>
  <si>
    <t>白茂琼</t>
    <phoneticPr fontId="2" type="noConversion"/>
  </si>
  <si>
    <t>何容华</t>
    <phoneticPr fontId="2" type="noConversion"/>
  </si>
  <si>
    <t>白班保姆</t>
    <phoneticPr fontId="2" type="noConversion"/>
  </si>
  <si>
    <t>韩前贵</t>
    <phoneticPr fontId="2" type="noConversion"/>
  </si>
  <si>
    <t>B</t>
    <phoneticPr fontId="2" type="noConversion"/>
  </si>
  <si>
    <t>钟点工</t>
    <phoneticPr fontId="2" type="noConversion"/>
  </si>
  <si>
    <t>咨询 不留号码</t>
    <phoneticPr fontId="2" type="noConversion"/>
  </si>
  <si>
    <t>江油</t>
    <phoneticPr fontId="2" type="noConversion"/>
  </si>
  <si>
    <t>白班保姆</t>
    <phoneticPr fontId="2" type="noConversion"/>
  </si>
  <si>
    <t>曾荣华</t>
    <phoneticPr fontId="2" type="noConversion"/>
  </si>
  <si>
    <t>女</t>
    <phoneticPr fontId="2" type="noConversion"/>
  </si>
  <si>
    <t>贺贺</t>
    <phoneticPr fontId="2" type="noConversion"/>
  </si>
  <si>
    <t>上户</t>
    <phoneticPr fontId="2" type="noConversion"/>
  </si>
  <si>
    <t>Sophie</t>
    <phoneticPr fontId="2" type="noConversion"/>
  </si>
  <si>
    <t>A</t>
    <phoneticPr fontId="2" type="noConversion"/>
  </si>
  <si>
    <t>住家保姆</t>
    <phoneticPr fontId="2" type="noConversion"/>
  </si>
  <si>
    <t>熊女士</t>
    <phoneticPr fontId="2" type="noConversion"/>
  </si>
  <si>
    <t>涪城区时代天骄</t>
    <phoneticPr fontId="2" type="noConversion"/>
  </si>
  <si>
    <t xml:space="preserve">80岁自理女老人 推轮椅出去晒太阳 能自己洗头洗澡 偶尔扶一下 </t>
    <phoneticPr fontId="2" type="noConversion"/>
  </si>
  <si>
    <t>2026.5需要</t>
    <phoneticPr fontId="2" type="noConversion"/>
  </si>
  <si>
    <t>轻松愉快华师傅</t>
    <phoneticPr fontId="2" type="noConversion"/>
  </si>
  <si>
    <t>D</t>
    <phoneticPr fontId="2" type="noConversion"/>
  </si>
  <si>
    <t>钟点工</t>
    <phoneticPr fontId="2" type="noConversion"/>
  </si>
  <si>
    <r>
      <t>1</t>
    </r>
    <r>
      <rPr>
        <sz val="11"/>
        <color theme="1"/>
        <rFont val="宋体"/>
        <family val="3"/>
        <charset val="134"/>
        <scheme val="minor"/>
      </rPr>
      <t>360811****</t>
    </r>
    <phoneticPr fontId="2" type="noConversion"/>
  </si>
  <si>
    <t>阿姨找工作</t>
    <phoneticPr fontId="2" type="noConversion"/>
  </si>
  <si>
    <r>
      <t>n</t>
    </r>
    <r>
      <rPr>
        <sz val="11"/>
        <color theme="1"/>
        <rFont val="宋体"/>
        <family val="3"/>
        <charset val="134"/>
        <scheme val="minor"/>
      </rPr>
      <t>tmge-au5</t>
    </r>
    <phoneticPr fontId="2" type="noConversion"/>
  </si>
  <si>
    <r>
      <t>1</t>
    </r>
    <r>
      <rPr>
        <sz val="11"/>
        <color theme="1"/>
        <rFont val="宋体"/>
        <family val="3"/>
        <charset val="134"/>
        <scheme val="minor"/>
      </rPr>
      <t>355082****</t>
    </r>
    <phoneticPr fontId="2" type="noConversion"/>
  </si>
  <si>
    <t>绵阳</t>
    <phoneticPr fontId="2" type="noConversion"/>
  </si>
  <si>
    <t>未接通</t>
    <phoneticPr fontId="2" type="noConversion"/>
  </si>
  <si>
    <t>C</t>
    <phoneticPr fontId="2" type="noConversion"/>
  </si>
  <si>
    <t>陈柳  徐雪莪 钟丽 刘晓琼 肖利清</t>
    <phoneticPr fontId="2" type="noConversion"/>
  </si>
  <si>
    <t>孟起</t>
    <phoneticPr fontId="2" type="noConversion"/>
  </si>
  <si>
    <t>A</t>
    <phoneticPr fontId="2" type="noConversion"/>
  </si>
  <si>
    <t>钟先生</t>
    <phoneticPr fontId="2" type="noConversion"/>
  </si>
  <si>
    <t>华润中央公园</t>
    <phoneticPr fontId="2" type="noConversion"/>
  </si>
  <si>
    <t>主要带1岁男宝宝 不做饭 洗碗 洗衣服打扫卫生 200平米 爷爷奶奶也在家</t>
    <phoneticPr fontId="2" type="noConversion"/>
  </si>
  <si>
    <t>贺贺</t>
    <phoneticPr fontId="2" type="noConversion"/>
  </si>
  <si>
    <t>罗丹丹</t>
    <phoneticPr fontId="2" type="noConversion"/>
  </si>
  <si>
    <t>住家保姆</t>
    <phoneticPr fontId="2" type="noConversion"/>
  </si>
  <si>
    <t>高水</t>
    <phoneticPr fontId="2" type="noConversion"/>
  </si>
  <si>
    <t>胡女士</t>
    <phoneticPr fontId="2" type="noConversion"/>
  </si>
  <si>
    <t>燕子</t>
    <phoneticPr fontId="2" type="noConversion"/>
  </si>
  <si>
    <t>70岁半瘫女老人 不打扫卫生 辅助做饭</t>
  </si>
  <si>
    <t>70岁半瘫女老人 不打扫卫生 辅助做饭</t>
    <phoneticPr fontId="2" type="noConversion"/>
  </si>
  <si>
    <t>阿姨面试边摘菜，我又推了唐金华</t>
    <phoneticPr fontId="2" type="noConversion"/>
  </si>
  <si>
    <t>小月子 月子餐+护理 15天 两顿饭，1.21号需要</t>
    <phoneticPr fontId="2" type="noConversion"/>
  </si>
  <si>
    <t>1/19不加微信不接电话</t>
    <phoneticPr fontId="2" type="noConversion"/>
  </si>
  <si>
    <t>钟点工</t>
    <phoneticPr fontId="2" type="noConversion"/>
  </si>
  <si>
    <t>1803048****</t>
    <phoneticPr fontId="2" type="noConversion"/>
  </si>
  <si>
    <t>绵阳</t>
    <phoneticPr fontId="2" type="noConversion"/>
  </si>
  <si>
    <t>未接通</t>
    <phoneticPr fontId="2" type="noConversion"/>
  </si>
  <si>
    <t>何强</t>
    <phoneticPr fontId="2" type="noConversion"/>
  </si>
  <si>
    <t>住家保姆</t>
    <phoneticPr fontId="2" type="noConversion"/>
  </si>
  <si>
    <t>1398110****</t>
    <phoneticPr fontId="2" type="noConversion"/>
  </si>
  <si>
    <t>何光斌</t>
    <phoneticPr fontId="2" type="noConversion"/>
  </si>
  <si>
    <t>A</t>
    <phoneticPr fontId="2" type="noConversion"/>
  </si>
  <si>
    <t>花荄</t>
    <phoneticPr fontId="2" type="noConversion"/>
  </si>
  <si>
    <t>洗衣服做饭打扫卫生，2-3个人的饭 面积110平米 辅助带娃  55以内</t>
    <phoneticPr fontId="2" type="noConversion"/>
  </si>
  <si>
    <t>倪先生</t>
    <phoneticPr fontId="2" type="noConversion"/>
  </si>
  <si>
    <t>用户16460</t>
    <phoneticPr fontId="2" type="noConversion"/>
  </si>
  <si>
    <t>1528160****</t>
    <phoneticPr fontId="2" type="noConversion"/>
  </si>
  <si>
    <t>文娟</t>
    <phoneticPr fontId="2" type="noConversion"/>
  </si>
  <si>
    <t>奥林春天</t>
    <phoneticPr fontId="2" type="noConversion"/>
  </si>
  <si>
    <t>买菜 做中饭 两个孩子一个大人</t>
    <phoneticPr fontId="2" type="noConversion"/>
  </si>
  <si>
    <t>唐金华</t>
    <phoneticPr fontId="2" type="noConversion"/>
  </si>
  <si>
    <t>满意，服务费贵了</t>
    <phoneticPr fontId="2" type="noConversion"/>
  </si>
  <si>
    <t>贺贺</t>
    <phoneticPr fontId="2" type="noConversion"/>
  </si>
  <si>
    <t>游仙</t>
    <phoneticPr fontId="2" type="noConversion"/>
  </si>
  <si>
    <t>孙艳</t>
    <phoneticPr fontId="2" type="noConversion"/>
  </si>
  <si>
    <t>严小群</t>
    <phoneticPr fontId="2" type="noConversion"/>
  </si>
  <si>
    <t>女</t>
    <phoneticPr fontId="2" type="noConversion"/>
  </si>
  <si>
    <t>钟点工</t>
    <phoneticPr fontId="2" type="noConversion"/>
  </si>
  <si>
    <t>一个人的中饭 洗衣服打扫卫生 130平米</t>
    <phoneticPr fontId="2" type="noConversion"/>
  </si>
  <si>
    <t>服务费太贵，不找了</t>
    <phoneticPr fontId="2" type="noConversion"/>
  </si>
  <si>
    <t>用户87719</t>
    <phoneticPr fontId="2" type="noConversion"/>
  </si>
  <si>
    <t>C</t>
    <phoneticPr fontId="2" type="noConversion"/>
  </si>
  <si>
    <t>住家保姆</t>
    <phoneticPr fontId="2" type="noConversion"/>
  </si>
  <si>
    <t>1808121****</t>
    <phoneticPr fontId="2" type="noConversion"/>
  </si>
  <si>
    <t>绵阳</t>
    <phoneticPr fontId="2" type="noConversion"/>
  </si>
  <si>
    <t>贺贺</t>
    <phoneticPr fontId="2" type="noConversion"/>
  </si>
  <si>
    <t>ady8ivdep</t>
    <phoneticPr fontId="2" type="noConversion"/>
  </si>
  <si>
    <t>钟点工</t>
    <phoneticPr fontId="2" type="noConversion"/>
  </si>
  <si>
    <t>1888202****</t>
    <phoneticPr fontId="2" type="noConversion"/>
  </si>
  <si>
    <t>静馨园</t>
    <phoneticPr fontId="2" type="noConversion"/>
  </si>
  <si>
    <t>工资高了 暂时不找了</t>
    <phoneticPr fontId="2" type="noConversion"/>
  </si>
  <si>
    <t>贺贺</t>
    <phoneticPr fontId="2" type="noConversion"/>
  </si>
  <si>
    <t>D</t>
    <phoneticPr fontId="2" type="noConversion"/>
  </si>
  <si>
    <t>住家保姆</t>
    <phoneticPr fontId="2" type="noConversion"/>
  </si>
  <si>
    <t>1528169****</t>
    <phoneticPr fontId="2" type="noConversion"/>
  </si>
  <si>
    <t>绵阳</t>
    <phoneticPr fontId="2" type="noConversion"/>
  </si>
  <si>
    <t>威名远扬的沿老板</t>
    <phoneticPr fontId="2" type="noConversion"/>
  </si>
  <si>
    <t>1328109****</t>
    <phoneticPr fontId="2" type="noConversion"/>
  </si>
  <si>
    <t>1/20报门挂断</t>
    <phoneticPr fontId="2" type="noConversion"/>
  </si>
  <si>
    <t>jtv8plp2k</t>
    <phoneticPr fontId="2" type="noConversion"/>
  </si>
  <si>
    <t>钟点工</t>
    <phoneticPr fontId="2" type="noConversion"/>
  </si>
  <si>
    <t>梓潼</t>
    <phoneticPr fontId="2" type="noConversion"/>
  </si>
  <si>
    <t>给两个学生做一顿煮饭</t>
    <phoneticPr fontId="2" type="noConversion"/>
  </si>
  <si>
    <t>贺贺</t>
    <phoneticPr fontId="2" type="noConversion"/>
  </si>
  <si>
    <t>马延辉</t>
    <phoneticPr fontId="2" type="noConversion"/>
  </si>
  <si>
    <t>D</t>
    <phoneticPr fontId="2" type="noConversion"/>
  </si>
  <si>
    <t>钟点工</t>
    <phoneticPr fontId="2" type="noConversion"/>
  </si>
  <si>
    <t>绵阳</t>
    <phoneticPr fontId="2" type="noConversion"/>
  </si>
  <si>
    <t>小工4-5天</t>
    <phoneticPr fontId="2" type="noConversion"/>
  </si>
  <si>
    <t>贺贺</t>
    <phoneticPr fontId="2" type="noConversion"/>
  </si>
  <si>
    <t>罗云英</t>
    <phoneticPr fontId="2" type="noConversion"/>
  </si>
  <si>
    <t>女</t>
    <phoneticPr fontId="2" type="noConversion"/>
  </si>
  <si>
    <t>年后</t>
    <phoneticPr fontId="2" type="noConversion"/>
  </si>
  <si>
    <t>宋晓燕</t>
    <phoneticPr fontId="2" type="noConversion"/>
  </si>
  <si>
    <t>住家保姆</t>
    <phoneticPr fontId="2" type="noConversion"/>
  </si>
  <si>
    <t>A</t>
    <phoneticPr fontId="2" type="noConversion"/>
  </si>
  <si>
    <t>王女士</t>
    <phoneticPr fontId="2" type="noConversion"/>
  </si>
  <si>
    <t>盛景兰庭</t>
    <phoneticPr fontId="2" type="noConversion"/>
  </si>
  <si>
    <t xml:space="preserve">骨折女士 辅助穿戴护具 做饭做家务 2个人的饭 女儿15岁  130平米 </t>
    <phoneticPr fontId="2" type="noConversion"/>
  </si>
  <si>
    <t>xbm9dggb2</t>
    <phoneticPr fontId="2" type="noConversion"/>
  </si>
  <si>
    <t>白女士</t>
    <phoneticPr fontId="2" type="noConversion"/>
  </si>
  <si>
    <t>钟点工</t>
    <phoneticPr fontId="2" type="noConversion"/>
  </si>
  <si>
    <t>瑞阳首座</t>
    <phoneticPr fontId="2" type="noConversion"/>
  </si>
  <si>
    <t>做2-3个人的中饭</t>
    <phoneticPr fontId="2" type="noConversion"/>
  </si>
  <si>
    <t>贺贺</t>
    <phoneticPr fontId="2" type="noConversion"/>
  </si>
  <si>
    <t>向日葵</t>
    <phoneticPr fontId="2" type="noConversion"/>
  </si>
  <si>
    <t>1319868****</t>
    <phoneticPr fontId="2" type="noConversion"/>
  </si>
  <si>
    <t>住家育儿嫂</t>
    <phoneticPr fontId="2" type="noConversion"/>
  </si>
  <si>
    <t>绵阳</t>
    <phoneticPr fontId="2" type="noConversion"/>
  </si>
  <si>
    <t>未接通</t>
    <phoneticPr fontId="2" type="noConversion"/>
  </si>
  <si>
    <t>转品类</t>
    <phoneticPr fontId="2" type="noConversion"/>
  </si>
  <si>
    <t>贺贺</t>
    <phoneticPr fontId="2" type="noConversion"/>
  </si>
  <si>
    <t>魏静</t>
    <phoneticPr fontId="2" type="noConversion"/>
  </si>
  <si>
    <t>女</t>
    <phoneticPr fontId="2" type="noConversion"/>
  </si>
  <si>
    <t>钟点工</t>
    <phoneticPr fontId="2" type="noConversion"/>
  </si>
  <si>
    <t>市中心</t>
    <phoneticPr fontId="2" type="noConversion"/>
  </si>
  <si>
    <t>1592820****</t>
    <phoneticPr fontId="2" type="noConversion"/>
  </si>
  <si>
    <t>白班保姆</t>
    <phoneticPr fontId="2" type="noConversion"/>
  </si>
  <si>
    <t>绵阳</t>
    <phoneticPr fontId="2" type="noConversion"/>
  </si>
  <si>
    <t>苏涛</t>
    <phoneticPr fontId="2" type="noConversion"/>
  </si>
  <si>
    <t>贺贺</t>
    <phoneticPr fontId="2" type="noConversion"/>
  </si>
  <si>
    <t>住家保姆</t>
    <phoneticPr fontId="2" type="noConversion"/>
  </si>
  <si>
    <t>1395033****</t>
    <phoneticPr fontId="2" type="noConversion"/>
  </si>
  <si>
    <t>绵阳</t>
    <phoneticPr fontId="2" type="noConversion"/>
  </si>
  <si>
    <t>不需要</t>
    <phoneticPr fontId="2" type="noConversion"/>
  </si>
  <si>
    <t>D</t>
    <phoneticPr fontId="2" type="noConversion"/>
  </si>
  <si>
    <t>春暖花开</t>
    <phoneticPr fontId="2" type="noConversion"/>
  </si>
  <si>
    <t>住家保姆/育儿嫂</t>
    <phoneticPr fontId="2" type="noConversion"/>
  </si>
  <si>
    <t>罗世会</t>
    <phoneticPr fontId="2" type="noConversion"/>
  </si>
  <si>
    <t>女</t>
    <phoneticPr fontId="2" type="noConversion"/>
  </si>
  <si>
    <t>王华珍</t>
    <phoneticPr fontId="2" type="noConversion"/>
  </si>
  <si>
    <t>卿秀华</t>
    <phoneticPr fontId="2" type="noConversion"/>
  </si>
  <si>
    <t>女</t>
    <phoneticPr fontId="2" type="noConversion"/>
  </si>
  <si>
    <t>住家保姆</t>
    <phoneticPr fontId="2" type="noConversion"/>
  </si>
  <si>
    <t>会做菜</t>
    <phoneticPr fontId="2" type="noConversion"/>
  </si>
  <si>
    <t>杨凤琼</t>
    <phoneticPr fontId="2" type="noConversion"/>
  </si>
  <si>
    <t>做菜可以</t>
    <phoneticPr fontId="2" type="noConversion"/>
  </si>
  <si>
    <t>年后接单</t>
    <phoneticPr fontId="2" type="noConversion"/>
  </si>
  <si>
    <t>杨泽辉</t>
    <phoneticPr fontId="2" type="noConversion"/>
  </si>
  <si>
    <t>白班 住家都可以 做饭 家务 带小孩 有别墅经验 会收纳 开车 面食 江浙菜 西餐 工资8000起步</t>
    <phoneticPr fontId="2" type="noConversion"/>
  </si>
  <si>
    <t>蔡国凤</t>
    <phoneticPr fontId="2" type="noConversion"/>
  </si>
  <si>
    <t>育儿经验丰富</t>
    <phoneticPr fontId="2" type="noConversion"/>
  </si>
  <si>
    <t>董英</t>
    <phoneticPr fontId="2" type="noConversion"/>
  </si>
  <si>
    <t>年后</t>
    <phoneticPr fontId="2" type="noConversion"/>
  </si>
  <si>
    <t>阳凤琼</t>
    <phoneticPr fontId="2" type="noConversion"/>
  </si>
  <si>
    <t>钟点工</t>
    <phoneticPr fontId="2" type="noConversion"/>
  </si>
  <si>
    <t>可接下午班钟点工</t>
    <phoneticPr fontId="2" type="noConversion"/>
  </si>
  <si>
    <t>肖冬梅</t>
    <phoneticPr fontId="2" type="noConversion"/>
  </si>
  <si>
    <t>冯琼英</t>
    <phoneticPr fontId="2" type="noConversion"/>
  </si>
  <si>
    <t>梁涛</t>
    <phoneticPr fontId="2" type="noConversion"/>
  </si>
  <si>
    <t>做过园长 育儿经验丰富</t>
    <phoneticPr fontId="2" type="noConversion"/>
  </si>
  <si>
    <t>胡德会</t>
    <phoneticPr fontId="2" type="noConversion"/>
  </si>
  <si>
    <t>会开车</t>
    <phoneticPr fontId="2" type="noConversion"/>
  </si>
  <si>
    <t>王官珍</t>
    <phoneticPr fontId="2" type="noConversion"/>
  </si>
  <si>
    <t>匡玉</t>
    <phoneticPr fontId="2" type="noConversion"/>
  </si>
  <si>
    <t>贺贺</t>
    <phoneticPr fontId="2" type="noConversion"/>
  </si>
  <si>
    <t>A</t>
    <phoneticPr fontId="2" type="noConversion"/>
  </si>
  <si>
    <t>游仙</t>
    <phoneticPr fontId="2" type="noConversion"/>
  </si>
  <si>
    <t>2-3人的饭 做家务 面积200平米 辅助带新生儿，大女儿14岁</t>
    <phoneticPr fontId="2" type="noConversion"/>
  </si>
  <si>
    <t>绵阳</t>
    <phoneticPr fontId="2" type="noConversion"/>
  </si>
  <si>
    <t>未接通</t>
    <phoneticPr fontId="2" type="noConversion"/>
  </si>
  <si>
    <t>C</t>
    <phoneticPr fontId="2" type="noConversion"/>
  </si>
  <si>
    <t>1368805****</t>
    <phoneticPr fontId="2" type="noConversion"/>
  </si>
  <si>
    <t>偶就</t>
    <phoneticPr fontId="2" type="noConversion"/>
  </si>
  <si>
    <t>邓益忠</t>
    <phoneticPr fontId="2" type="noConversion"/>
  </si>
  <si>
    <t>月嫂</t>
    <phoneticPr fontId="2" type="noConversion"/>
  </si>
  <si>
    <t>预产期1.30</t>
    <phoneticPr fontId="2" type="noConversion"/>
  </si>
  <si>
    <t>hxtrg-f7</t>
    <phoneticPr fontId="2" type="noConversion"/>
  </si>
  <si>
    <t>D</t>
    <phoneticPr fontId="2" type="noConversion"/>
  </si>
  <si>
    <t>后期也会可能需要住家保姆照顾90岁老太太</t>
    <phoneticPr fontId="2" type="noConversion"/>
  </si>
  <si>
    <t>郭敏</t>
    <phoneticPr fontId="2" type="noConversion"/>
  </si>
  <si>
    <t>女</t>
    <phoneticPr fontId="2" type="noConversion"/>
  </si>
  <si>
    <t>住家保姆</t>
    <phoneticPr fontId="2" type="noConversion"/>
  </si>
  <si>
    <t>年后</t>
    <phoneticPr fontId="2" type="noConversion"/>
  </si>
  <si>
    <t>贺贺</t>
    <phoneticPr fontId="2" type="noConversion"/>
  </si>
  <si>
    <t>用户96812</t>
    <phoneticPr fontId="2" type="noConversion"/>
  </si>
  <si>
    <t>D</t>
    <phoneticPr fontId="2" type="noConversion"/>
  </si>
  <si>
    <t>1598361****</t>
    <phoneticPr fontId="2" type="noConversion"/>
  </si>
  <si>
    <t>花荄</t>
    <phoneticPr fontId="2" type="noConversion"/>
  </si>
  <si>
    <t>阿姨找工作</t>
    <phoneticPr fontId="2" type="noConversion"/>
  </si>
  <si>
    <t>南北</t>
    <phoneticPr fontId="2" type="noConversion"/>
  </si>
  <si>
    <t>白班保姆</t>
    <phoneticPr fontId="2" type="noConversion"/>
  </si>
  <si>
    <t>1818838****</t>
    <phoneticPr fontId="2" type="noConversion"/>
  </si>
  <si>
    <t>永兴镇</t>
    <phoneticPr fontId="2" type="noConversion"/>
  </si>
  <si>
    <t>报门挂断</t>
    <phoneticPr fontId="2" type="noConversion"/>
  </si>
  <si>
    <t>花开灿烂虞博士</t>
    <phoneticPr fontId="2" type="noConversion"/>
  </si>
  <si>
    <t>1822727****</t>
    <phoneticPr fontId="2" type="noConversion"/>
  </si>
  <si>
    <t>绵阳</t>
    <phoneticPr fontId="2" type="noConversion"/>
  </si>
  <si>
    <t>未接通</t>
    <phoneticPr fontId="2" type="noConversion"/>
  </si>
  <si>
    <t>留不住的年华</t>
    <phoneticPr fontId="2" type="noConversion"/>
  </si>
  <si>
    <t>1888116****</t>
    <phoneticPr fontId="2" type="noConversion"/>
  </si>
  <si>
    <t>求职教育培训岗位</t>
    <phoneticPr fontId="2" type="noConversion"/>
  </si>
  <si>
    <t>任波</t>
    <phoneticPr fontId="2" type="noConversion"/>
  </si>
  <si>
    <t>1377810****</t>
    <phoneticPr fontId="2" type="noConversion"/>
  </si>
  <si>
    <t>钟点工</t>
    <phoneticPr fontId="2" type="noConversion"/>
  </si>
  <si>
    <t>1321994****</t>
    <phoneticPr fontId="2" type="noConversion"/>
  </si>
  <si>
    <t>只做一顿饭 不着急要 不留号码</t>
    <phoneticPr fontId="2" type="noConversion"/>
  </si>
  <si>
    <t>袁琳</t>
    <phoneticPr fontId="2" type="noConversion"/>
  </si>
  <si>
    <t>1398118****</t>
    <phoneticPr fontId="2" type="noConversion"/>
  </si>
  <si>
    <t>朝阳街道</t>
    <phoneticPr fontId="2" type="noConversion"/>
  </si>
  <si>
    <t>还没想好</t>
    <phoneticPr fontId="2" type="noConversion"/>
  </si>
  <si>
    <t>B</t>
    <phoneticPr fontId="2" type="noConversion"/>
  </si>
  <si>
    <t>C</t>
    <phoneticPr fontId="2" type="noConversion"/>
  </si>
  <si>
    <t>2026.1.24上午8点-16点休息。</t>
    <phoneticPr fontId="2" type="noConversion"/>
  </si>
  <si>
    <t>客户李代康</t>
    <phoneticPr fontId="2" type="noConversion"/>
  </si>
  <si>
    <t>客户任莉</t>
    <phoneticPr fontId="2" type="noConversion"/>
  </si>
  <si>
    <t>2026.1.18暂停合同，3.15左右找阿姨</t>
    <phoneticPr fontId="2" type="noConversion"/>
  </si>
  <si>
    <t>陈素芳实际上户时间2026.1.13晚上5点，实际下户时间2.8号</t>
    <phoneticPr fontId="2" type="noConversion"/>
  </si>
  <si>
    <t>线上合同时间2026.1.17-4.16，只用一个月，1.16提醒申请退款</t>
    <phoneticPr fontId="2" type="noConversion"/>
  </si>
  <si>
    <t>江波</t>
    <phoneticPr fontId="2" type="noConversion"/>
  </si>
  <si>
    <t>张丽华</t>
    <phoneticPr fontId="2" type="noConversion"/>
  </si>
  <si>
    <t>贾红梅</t>
    <phoneticPr fontId="2" type="noConversion"/>
  </si>
  <si>
    <t>2.10下户，面食做的好</t>
    <phoneticPr fontId="2" type="noConversion"/>
  </si>
  <si>
    <t>杨华兰</t>
    <phoneticPr fontId="2" type="noConversion"/>
  </si>
  <si>
    <t>推宋桂清 何春容</t>
    <phoneticPr fontId="2" type="noConversion"/>
  </si>
  <si>
    <t>贺贺</t>
    <phoneticPr fontId="2" type="noConversion"/>
  </si>
  <si>
    <t>戴老板爱庆祝</t>
    <phoneticPr fontId="2" type="noConversion"/>
  </si>
  <si>
    <t>A</t>
    <phoneticPr fontId="2" type="noConversion"/>
  </si>
  <si>
    <t>白班保姆</t>
    <phoneticPr fontId="2" type="noConversion"/>
  </si>
  <si>
    <t>经开区</t>
    <phoneticPr fontId="2" type="noConversion"/>
  </si>
  <si>
    <t>月子餐 两餐两点</t>
    <phoneticPr fontId="2" type="noConversion"/>
  </si>
  <si>
    <t>B</t>
    <phoneticPr fontId="2" type="noConversion"/>
  </si>
  <si>
    <t>1841307****</t>
    <phoneticPr fontId="2" type="noConversion"/>
  </si>
  <si>
    <t>钟点工</t>
    <phoneticPr fontId="2" type="noConversion"/>
  </si>
  <si>
    <t>绵阳</t>
    <phoneticPr fontId="2" type="noConversion"/>
  </si>
  <si>
    <t>一顿中饭，报价1000以内</t>
    <phoneticPr fontId="2" type="noConversion"/>
  </si>
  <si>
    <t>沈家坝</t>
    <phoneticPr fontId="2" type="noConversion"/>
  </si>
  <si>
    <t>顾洪丽</t>
    <phoneticPr fontId="2" type="noConversion"/>
  </si>
  <si>
    <t>候治军</t>
    <phoneticPr fontId="2" type="noConversion"/>
  </si>
  <si>
    <t>C</t>
    <phoneticPr fontId="2" type="noConversion"/>
  </si>
  <si>
    <t>住家保姆</t>
    <phoneticPr fontId="2" type="noConversion"/>
  </si>
  <si>
    <t>1588396****</t>
    <phoneticPr fontId="2" type="noConversion"/>
  </si>
  <si>
    <t>井井有条的曾博士</t>
    <phoneticPr fontId="2" type="noConversion"/>
  </si>
  <si>
    <t>1903811****</t>
    <phoneticPr fontId="2" type="noConversion"/>
  </si>
  <si>
    <t>养手中，做菜可以</t>
    <phoneticPr fontId="2" type="noConversion"/>
  </si>
  <si>
    <t>女</t>
    <phoneticPr fontId="2" type="noConversion"/>
  </si>
  <si>
    <t>李建华</t>
    <phoneticPr fontId="2" type="noConversion"/>
  </si>
  <si>
    <t>不需要</t>
    <phoneticPr fontId="2" type="noConversion"/>
  </si>
  <si>
    <t>贺贺</t>
    <phoneticPr fontId="2" type="noConversion"/>
  </si>
  <si>
    <t>用户237</t>
    <phoneticPr fontId="2" type="noConversion"/>
  </si>
  <si>
    <t>C</t>
    <phoneticPr fontId="2" type="noConversion"/>
  </si>
  <si>
    <t>白班保姆</t>
    <phoneticPr fontId="2" type="noConversion"/>
  </si>
  <si>
    <t>1309612****</t>
    <phoneticPr fontId="2" type="noConversion"/>
  </si>
  <si>
    <t>北川</t>
    <phoneticPr fontId="2" type="noConversion"/>
  </si>
  <si>
    <t>ghljttko2</t>
    <phoneticPr fontId="2" type="noConversion"/>
  </si>
  <si>
    <t>1528209****</t>
    <phoneticPr fontId="2" type="noConversion"/>
  </si>
  <si>
    <t>绵阳</t>
    <phoneticPr fontId="2" type="noConversion"/>
  </si>
  <si>
    <t>说一半挂了</t>
    <phoneticPr fontId="2" type="noConversion"/>
  </si>
  <si>
    <t>杨明琼</t>
    <phoneticPr fontId="2" type="noConversion"/>
  </si>
  <si>
    <t>D</t>
    <phoneticPr fontId="2" type="noConversion"/>
  </si>
  <si>
    <t>住家保姆</t>
    <phoneticPr fontId="2" type="noConversion"/>
  </si>
  <si>
    <t>1552057****</t>
    <phoneticPr fontId="2" type="noConversion"/>
  </si>
  <si>
    <t>年后</t>
    <phoneticPr fontId="2" type="noConversion"/>
  </si>
  <si>
    <t>贺贺</t>
    <phoneticPr fontId="2" type="noConversion"/>
  </si>
  <si>
    <t>白班保姆</t>
    <phoneticPr fontId="2" type="noConversion"/>
  </si>
  <si>
    <t>1519622****</t>
    <phoneticPr fontId="2" type="noConversion"/>
  </si>
  <si>
    <t>绵阳</t>
    <phoneticPr fontId="2" type="noConversion"/>
  </si>
  <si>
    <t>用户75016</t>
    <phoneticPr fontId="2" type="noConversion"/>
  </si>
  <si>
    <t>白班育儿嫂</t>
    <phoneticPr fontId="2" type="noConversion"/>
  </si>
  <si>
    <t>1339837****</t>
    <phoneticPr fontId="2" type="noConversion"/>
  </si>
  <si>
    <t>住家保姆</t>
    <phoneticPr fontId="2" type="noConversion"/>
  </si>
  <si>
    <t>1898114****</t>
    <phoneticPr fontId="2" type="noConversion"/>
  </si>
  <si>
    <t>1890811****</t>
    <phoneticPr fontId="2" type="noConversion"/>
  </si>
  <si>
    <t>女</t>
    <phoneticPr fontId="2" type="noConversion"/>
  </si>
  <si>
    <t>白班</t>
    <phoneticPr fontId="2" type="noConversion"/>
  </si>
  <si>
    <t>石桥铺</t>
    <phoneticPr fontId="2" type="noConversion"/>
  </si>
  <si>
    <t>暂时不空</t>
    <phoneticPr fontId="2" type="noConversion"/>
  </si>
  <si>
    <t>白班钟点工</t>
    <phoneticPr fontId="2" type="noConversion"/>
  </si>
  <si>
    <t>程爱霞</t>
    <phoneticPr fontId="2" type="noConversion"/>
  </si>
  <si>
    <t>贺贺</t>
    <phoneticPr fontId="2" type="noConversion"/>
  </si>
  <si>
    <t>女</t>
    <phoneticPr fontId="2" type="noConversion"/>
  </si>
  <si>
    <t>江油</t>
    <phoneticPr fontId="2" type="noConversion"/>
  </si>
  <si>
    <t>张馨.</t>
    <phoneticPr fontId="2" type="noConversion"/>
  </si>
  <si>
    <t>王芳芳</t>
    <phoneticPr fontId="2" type="noConversion"/>
  </si>
  <si>
    <t>C</t>
    <phoneticPr fontId="2" type="noConversion"/>
  </si>
  <si>
    <t>钟点工</t>
    <phoneticPr fontId="2" type="noConversion"/>
  </si>
  <si>
    <t>1878039****</t>
    <phoneticPr fontId="2" type="noConversion"/>
  </si>
  <si>
    <t>绵阳</t>
    <phoneticPr fontId="2" type="noConversion"/>
  </si>
  <si>
    <t>咨询了解</t>
    <phoneticPr fontId="2" type="noConversion"/>
  </si>
  <si>
    <t>李涛发</t>
    <phoneticPr fontId="2" type="noConversion"/>
  </si>
  <si>
    <t>A</t>
    <phoneticPr fontId="2" type="noConversion"/>
  </si>
  <si>
    <t>白班保姆</t>
    <phoneticPr fontId="2" type="noConversion"/>
  </si>
  <si>
    <t>江油红庙村</t>
    <phoneticPr fontId="2" type="noConversion"/>
  </si>
  <si>
    <t>给孕妇和一岁宝宝做两顿饭，打扫卫生，辅助带娃</t>
    <phoneticPr fontId="2" type="noConversion"/>
  </si>
  <si>
    <t>住家保姆</t>
    <phoneticPr fontId="2" type="noConversion"/>
  </si>
  <si>
    <t>谢蓉</t>
    <phoneticPr fontId="2" type="noConversion"/>
  </si>
  <si>
    <t>不需要</t>
    <phoneticPr fontId="2" type="noConversion"/>
  </si>
  <si>
    <t>不空</t>
    <phoneticPr fontId="2" type="noConversion"/>
  </si>
  <si>
    <t>C</t>
    <phoneticPr fontId="2" type="noConversion"/>
  </si>
  <si>
    <t>D</t>
    <phoneticPr fontId="2" type="noConversion"/>
  </si>
  <si>
    <t>爱养兔子的徐总</t>
    <phoneticPr fontId="2" type="noConversion"/>
  </si>
  <si>
    <t>住家保姆</t>
    <phoneticPr fontId="2" type="noConversion"/>
  </si>
  <si>
    <t>1828194****</t>
    <phoneticPr fontId="2" type="noConversion"/>
  </si>
  <si>
    <t>绵阳</t>
    <phoneticPr fontId="2" type="noConversion"/>
  </si>
  <si>
    <t>贺贺</t>
    <phoneticPr fontId="2" type="noConversion"/>
  </si>
  <si>
    <t>勇于担当芦老板</t>
    <phoneticPr fontId="2" type="noConversion"/>
  </si>
  <si>
    <t>住家保姆</t>
    <phoneticPr fontId="2" type="noConversion"/>
  </si>
  <si>
    <t>叶珊媚</t>
    <phoneticPr fontId="2" type="noConversion"/>
  </si>
  <si>
    <t>钟点工</t>
    <phoneticPr fontId="2" type="noConversion"/>
  </si>
  <si>
    <t>18888112****</t>
    <phoneticPr fontId="2" type="noConversion"/>
  </si>
  <si>
    <t>高新区</t>
    <phoneticPr fontId="2" type="noConversion"/>
  </si>
  <si>
    <t>未接通</t>
    <phoneticPr fontId="2" type="noConversion"/>
  </si>
  <si>
    <t>绵阳</t>
    <phoneticPr fontId="2" type="noConversion"/>
  </si>
  <si>
    <t>小燕子</t>
    <phoneticPr fontId="2" type="noConversion"/>
  </si>
  <si>
    <t>D</t>
    <phoneticPr fontId="2" type="noConversion"/>
  </si>
  <si>
    <t>转品类-保洁</t>
    <phoneticPr fontId="2" type="noConversion"/>
  </si>
  <si>
    <t>黄万香</t>
    <phoneticPr fontId="2" type="noConversion"/>
  </si>
  <si>
    <t>女</t>
    <phoneticPr fontId="2" type="noConversion"/>
  </si>
  <si>
    <t>经开区</t>
    <phoneticPr fontId="2" type="noConversion"/>
  </si>
  <si>
    <t>住家/白班</t>
    <phoneticPr fontId="2" type="noConversion"/>
  </si>
  <si>
    <t>黄莉</t>
    <phoneticPr fontId="2" type="noConversion"/>
  </si>
  <si>
    <t>年后</t>
    <phoneticPr fontId="2" type="noConversion"/>
  </si>
  <si>
    <t>曹清萍</t>
    <phoneticPr fontId="2" type="noConversion"/>
  </si>
  <si>
    <t>山小蓉</t>
    <phoneticPr fontId="2" type="noConversion"/>
  </si>
  <si>
    <t>高琼</t>
    <phoneticPr fontId="2" type="noConversion"/>
  </si>
  <si>
    <t>陈雪梅</t>
    <phoneticPr fontId="2" type="noConversion"/>
  </si>
  <si>
    <t>高建慧</t>
    <phoneticPr fontId="2" type="noConversion"/>
  </si>
  <si>
    <t>D</t>
    <phoneticPr fontId="2" type="noConversion"/>
  </si>
  <si>
    <t>钟点工</t>
    <phoneticPr fontId="2" type="noConversion"/>
  </si>
  <si>
    <t>1588280****</t>
    <phoneticPr fontId="2" type="noConversion"/>
  </si>
  <si>
    <t>绵阳</t>
    <phoneticPr fontId="2" type="noConversion"/>
  </si>
  <si>
    <t>住家保姆</t>
    <phoneticPr fontId="2" type="noConversion"/>
  </si>
  <si>
    <t>年后</t>
    <phoneticPr fontId="2" type="noConversion"/>
  </si>
  <si>
    <t>cgl</t>
    <phoneticPr fontId="2" type="noConversion"/>
  </si>
  <si>
    <t>C</t>
    <phoneticPr fontId="2" type="noConversion"/>
  </si>
  <si>
    <t>月嫂</t>
    <phoneticPr fontId="2" type="noConversion"/>
  </si>
  <si>
    <t>1803098****</t>
    <phoneticPr fontId="2" type="noConversion"/>
  </si>
  <si>
    <t>胡莉</t>
    <phoneticPr fontId="2" type="noConversion"/>
  </si>
  <si>
    <t>贺贺</t>
    <phoneticPr fontId="2" type="noConversion"/>
  </si>
  <si>
    <t>风流潇洒于总G</t>
    <phoneticPr fontId="2" type="noConversion"/>
  </si>
  <si>
    <t>C</t>
    <phoneticPr fontId="2" type="noConversion"/>
  </si>
  <si>
    <t xml:space="preserve"> 白班保姆</t>
    <phoneticPr fontId="2" type="noConversion"/>
  </si>
  <si>
    <t>绵阳</t>
    <phoneticPr fontId="2" type="noConversion"/>
  </si>
  <si>
    <t>早饭中饭报价2000觉得太高了，不加微信</t>
    <phoneticPr fontId="2" type="noConversion"/>
  </si>
  <si>
    <t>不加微信</t>
    <phoneticPr fontId="2" type="noConversion"/>
  </si>
  <si>
    <t>B</t>
    <phoneticPr fontId="2" type="noConversion"/>
  </si>
  <si>
    <t>客户何沛璐</t>
    <phoneticPr fontId="2" type="noConversion"/>
  </si>
  <si>
    <t>2026.1.29暂停合同，等父亲出院再找阿姨</t>
    <phoneticPr fontId="2" type="noConversion"/>
  </si>
  <si>
    <t>贺贺</t>
    <phoneticPr fontId="2" type="noConversion"/>
  </si>
  <si>
    <t>邓益忠</t>
    <phoneticPr fontId="2" type="noConversion"/>
  </si>
  <si>
    <t>月嫂</t>
    <phoneticPr fontId="2" type="noConversion"/>
  </si>
  <si>
    <t>三台芦溪镇</t>
    <phoneticPr fontId="2" type="noConversion"/>
  </si>
  <si>
    <t>月嫂，26天</t>
    <phoneticPr fontId="2" type="noConversion"/>
  </si>
  <si>
    <t>刘晓琼</t>
    <phoneticPr fontId="2" type="noConversion"/>
  </si>
  <si>
    <t>满意</t>
    <phoneticPr fontId="2" type="noConversion"/>
  </si>
  <si>
    <t>公海</t>
    <phoneticPr fontId="2" type="noConversion"/>
  </si>
  <si>
    <t>苏先生</t>
    <phoneticPr fontId="2" type="noConversion"/>
  </si>
  <si>
    <t>住家保姆</t>
    <phoneticPr fontId="2" type="noConversion"/>
  </si>
  <si>
    <t>海南 平武 绵阳</t>
    <phoneticPr fontId="2" type="noConversion"/>
  </si>
  <si>
    <t>春节三亚至3月底回绵阳，工作日在平武，周末在绵阳，2大一小，能跟育儿嫂处好关系</t>
    <phoneticPr fontId="2" type="noConversion"/>
  </si>
  <si>
    <t>张晓梅</t>
    <phoneticPr fontId="2" type="noConversion"/>
  </si>
  <si>
    <t>满意，面试后阿姨签了其他单子</t>
    <phoneticPr fontId="2" type="noConversion"/>
  </si>
  <si>
    <t>三台县芦溪镇花园宝林寺三组</t>
    <phoneticPr fontId="2" type="noConversion"/>
  </si>
  <si>
    <t>8850元/月</t>
    <phoneticPr fontId="2" type="noConversion"/>
  </si>
  <si>
    <t>李先生</t>
    <phoneticPr fontId="2" type="noConversion"/>
  </si>
  <si>
    <t>李涛发</t>
    <phoneticPr fontId="2" type="noConversion"/>
  </si>
  <si>
    <t>白班保姆</t>
    <phoneticPr fontId="2" type="noConversion"/>
  </si>
  <si>
    <t>江油红庙</t>
    <phoneticPr fontId="2" type="noConversion"/>
  </si>
  <si>
    <t>一岁半男宝宝，做辅食+1大人两顿饭，打扫卫生，带娃楼下玩耍</t>
    <phoneticPr fontId="2" type="noConversion"/>
  </si>
  <si>
    <t>郭朋英</t>
    <phoneticPr fontId="2" type="noConversion"/>
  </si>
  <si>
    <t>C</t>
    <phoneticPr fontId="2" type="noConversion"/>
  </si>
  <si>
    <t>贺贺</t>
    <phoneticPr fontId="2" type="noConversion"/>
  </si>
  <si>
    <t>住家保姆</t>
    <phoneticPr fontId="2" type="noConversion"/>
  </si>
  <si>
    <t>绵阳</t>
    <phoneticPr fontId="2" type="noConversion"/>
  </si>
  <si>
    <t>照顾老年痴呆女性</t>
    <phoneticPr fontId="2" type="noConversion"/>
  </si>
  <si>
    <t>年后需要</t>
    <phoneticPr fontId="2" type="noConversion"/>
  </si>
  <si>
    <t>王先生</t>
    <phoneticPr fontId="2" type="noConversion"/>
  </si>
  <si>
    <t>刘女士</t>
    <phoneticPr fontId="2" type="noConversion"/>
  </si>
  <si>
    <t>白班保姆</t>
    <phoneticPr fontId="2" type="noConversion"/>
  </si>
  <si>
    <t>科学城8区</t>
    <phoneticPr fontId="2" type="noConversion"/>
  </si>
  <si>
    <t>两个80多岁自理老人，江浙人 不吃辣 清淡 中餐+晚餐，打扫卫生 晾晒衣服，面积120平米，买菜，50岁左右</t>
    <phoneticPr fontId="2" type="noConversion"/>
  </si>
  <si>
    <t>B</t>
    <phoneticPr fontId="2" type="noConversion"/>
  </si>
  <si>
    <t xml:space="preserve">B </t>
    <phoneticPr fontId="2" type="noConversion"/>
  </si>
  <si>
    <t>威风十足虞师傅</t>
    <phoneticPr fontId="2" type="noConversion"/>
  </si>
  <si>
    <t>1734551****</t>
    <phoneticPr fontId="2" type="noConversion"/>
  </si>
  <si>
    <t>普明街道</t>
    <phoneticPr fontId="2" type="noConversion"/>
  </si>
  <si>
    <t>摔跤 90岁不能自理男老人 1.7米，120斤，现在和女儿住一起，阿姨做老人和自己饭菜，打扫房间卫生，同房分床，可以沟通</t>
    <phoneticPr fontId="2" type="noConversion"/>
  </si>
  <si>
    <t>男</t>
    <phoneticPr fontId="2" type="noConversion"/>
  </si>
  <si>
    <t>王邦军</t>
    <phoneticPr fontId="2" type="noConversion"/>
  </si>
  <si>
    <t>男护工</t>
    <phoneticPr fontId="2" type="noConversion"/>
  </si>
  <si>
    <t>朱国平</t>
    <phoneticPr fontId="2" type="noConversion"/>
  </si>
  <si>
    <t>2/2不需要了</t>
    <phoneticPr fontId="2" type="noConversion"/>
  </si>
  <si>
    <t>预产期2.15，不留电话</t>
    <phoneticPr fontId="2" type="noConversion"/>
  </si>
  <si>
    <t>叶昌勇</t>
    <phoneticPr fontId="2" type="noConversion"/>
  </si>
  <si>
    <t>已经找到了</t>
    <phoneticPr fontId="2" type="noConversion"/>
  </si>
  <si>
    <t>张吉勇</t>
    <phoneticPr fontId="2" type="noConversion"/>
  </si>
  <si>
    <t>三台县城</t>
    <phoneticPr fontId="2" type="noConversion"/>
  </si>
  <si>
    <t>女</t>
    <phoneticPr fontId="2" type="noConversion"/>
  </si>
  <si>
    <t>男</t>
    <phoneticPr fontId="2" type="noConversion"/>
  </si>
  <si>
    <t>易利华</t>
    <phoneticPr fontId="2" type="noConversion"/>
  </si>
  <si>
    <t>C</t>
    <phoneticPr fontId="2" type="noConversion"/>
  </si>
  <si>
    <t>杨馨</t>
    <phoneticPr fontId="2" type="noConversion"/>
  </si>
  <si>
    <t>B</t>
    <phoneticPr fontId="2" type="noConversion"/>
  </si>
  <si>
    <t>住家保姆</t>
    <phoneticPr fontId="2" type="noConversion"/>
  </si>
  <si>
    <t>绵阳</t>
    <phoneticPr fontId="2" type="noConversion"/>
  </si>
  <si>
    <t>受伤女士 做饭做家务 递东西 需要10天左右</t>
    <phoneticPr fontId="2" type="noConversion"/>
  </si>
  <si>
    <t>2wfllixc8</t>
    <phoneticPr fontId="2" type="noConversion"/>
  </si>
  <si>
    <t>C</t>
    <phoneticPr fontId="2" type="noConversion"/>
  </si>
  <si>
    <t>1388110****</t>
    <phoneticPr fontId="2" type="noConversion"/>
  </si>
  <si>
    <t xml:space="preserve"> 照顾8岁孩子，做饭做家务 咨询价格后说考虑</t>
    <phoneticPr fontId="2" type="noConversion"/>
  </si>
  <si>
    <t>考虑 不留电话</t>
    <phoneticPr fontId="2" type="noConversion"/>
  </si>
  <si>
    <t>A</t>
    <phoneticPr fontId="2" type="noConversion"/>
  </si>
  <si>
    <t>钟点工</t>
    <phoneticPr fontId="2" type="noConversion"/>
  </si>
  <si>
    <t>科学城九区</t>
    <phoneticPr fontId="2" type="noConversion"/>
  </si>
  <si>
    <t>9-12点，买菜 三个成年人的饭 家里人做饭 阿姨就打卫生</t>
    <phoneticPr fontId="2" type="noConversion"/>
  </si>
  <si>
    <t>老客户</t>
    <phoneticPr fontId="2" type="noConversion"/>
  </si>
  <si>
    <t>白班保姆</t>
    <phoneticPr fontId="2" type="noConversion"/>
  </si>
  <si>
    <t>园艺山华润紫云府</t>
    <phoneticPr fontId="2" type="noConversion"/>
  </si>
  <si>
    <t>朝九晚六，中一个人的饭 晚上2-3个人的饭 晾晒衣服 打扫卫生 面积80平米 买菜 辅助带娃 50以内 长期好相处 初八上户</t>
    <phoneticPr fontId="2" type="noConversion"/>
  </si>
  <si>
    <t>园艺山</t>
    <phoneticPr fontId="2" type="noConversion"/>
  </si>
  <si>
    <t>白班</t>
    <phoneticPr fontId="2" type="noConversion"/>
  </si>
  <si>
    <t>肖巧艳</t>
    <phoneticPr fontId="2" type="noConversion"/>
  </si>
  <si>
    <t>女</t>
    <phoneticPr fontId="2" type="noConversion"/>
  </si>
  <si>
    <t>高水</t>
    <phoneticPr fontId="2" type="noConversion"/>
  </si>
  <si>
    <t>肖雪</t>
    <phoneticPr fontId="2" type="noConversion"/>
  </si>
  <si>
    <t>可接上午钟点工</t>
    <phoneticPr fontId="2" type="noConversion"/>
  </si>
  <si>
    <t>春节不回绵阳 3.4月回绵阳再联系</t>
    <phoneticPr fontId="2" type="noConversion"/>
  </si>
  <si>
    <t>白班/钟点</t>
    <phoneticPr fontId="2" type="noConversion"/>
  </si>
  <si>
    <t>舒建明</t>
    <phoneticPr fontId="2" type="noConversion"/>
  </si>
  <si>
    <t>白班/钟点工</t>
    <phoneticPr fontId="2" type="noConversion"/>
  </si>
  <si>
    <t>杨艳</t>
    <phoneticPr fontId="2" type="noConversion"/>
  </si>
  <si>
    <t>圣水</t>
    <phoneticPr fontId="2" type="noConversion"/>
  </si>
  <si>
    <t>火车站</t>
    <phoneticPr fontId="2" type="noConversion"/>
  </si>
  <si>
    <t>张静</t>
    <phoneticPr fontId="2" type="noConversion"/>
  </si>
  <si>
    <t>2026.9接单 现在陪读高考儿子</t>
    <phoneticPr fontId="2" type="noConversion"/>
  </si>
  <si>
    <t>徐莉</t>
    <phoneticPr fontId="2" type="noConversion"/>
  </si>
  <si>
    <t>年后</t>
    <phoneticPr fontId="2" type="noConversion"/>
  </si>
  <si>
    <t>吴晓红</t>
    <phoneticPr fontId="2" type="noConversion"/>
  </si>
  <si>
    <t>陈方琼</t>
    <phoneticPr fontId="2" type="noConversion"/>
  </si>
  <si>
    <t>张蓉</t>
    <phoneticPr fontId="2" type="noConversion"/>
  </si>
  <si>
    <t>刘敏</t>
    <phoneticPr fontId="2" type="noConversion"/>
  </si>
  <si>
    <t>女</t>
    <phoneticPr fontId="2" type="noConversion"/>
  </si>
  <si>
    <t>体检有指标超高 幽门不过关</t>
    <phoneticPr fontId="2" type="noConversion"/>
  </si>
  <si>
    <t>熊蓉</t>
    <phoneticPr fontId="2" type="noConversion"/>
  </si>
  <si>
    <t>3.1才能接单</t>
    <phoneticPr fontId="2" type="noConversion"/>
  </si>
  <si>
    <t>杨见容</t>
    <phoneticPr fontId="2" type="noConversion"/>
  </si>
  <si>
    <t>郭蓉</t>
    <phoneticPr fontId="2" type="noConversion"/>
  </si>
  <si>
    <t>黄兴春</t>
    <phoneticPr fontId="2" type="noConversion"/>
  </si>
  <si>
    <t>田云金</t>
    <phoneticPr fontId="2" type="noConversion"/>
  </si>
  <si>
    <t>杨小红</t>
    <phoneticPr fontId="2" type="noConversion"/>
  </si>
  <si>
    <t>邹小英</t>
    <phoneticPr fontId="2" type="noConversion"/>
  </si>
  <si>
    <t>梁女士</t>
    <phoneticPr fontId="2" type="noConversion"/>
  </si>
  <si>
    <t>鹤林镇</t>
    <phoneticPr fontId="2" type="noConversion"/>
  </si>
  <si>
    <t>霍晓凤</t>
    <phoneticPr fontId="2" type="noConversion"/>
  </si>
  <si>
    <t>可以接 年后才能确定什时候上户</t>
    <phoneticPr fontId="2" type="noConversion"/>
  </si>
  <si>
    <t>候生兰</t>
    <phoneticPr fontId="2" type="noConversion"/>
  </si>
  <si>
    <t>年后</t>
    <phoneticPr fontId="2" type="noConversion"/>
  </si>
  <si>
    <t>王礼兰</t>
    <phoneticPr fontId="2" type="noConversion"/>
  </si>
  <si>
    <t>脚受伤 出了正月接单</t>
    <phoneticPr fontId="2" type="noConversion"/>
  </si>
  <si>
    <t>年后学驾照</t>
    <phoneticPr fontId="2" type="noConversion"/>
  </si>
  <si>
    <t>白班/住家</t>
    <phoneticPr fontId="2" type="noConversion"/>
  </si>
  <si>
    <t>王晓琼</t>
    <phoneticPr fontId="2" type="noConversion"/>
  </si>
  <si>
    <t>游仙</t>
    <phoneticPr fontId="2" type="noConversion"/>
  </si>
  <si>
    <t>黄三美</t>
    <phoneticPr fontId="2" type="noConversion"/>
  </si>
  <si>
    <t>白班</t>
    <phoneticPr fontId="2" type="noConversion"/>
  </si>
  <si>
    <t>贺贺</t>
    <phoneticPr fontId="2" type="noConversion"/>
  </si>
  <si>
    <t>一路高升-沙博士</t>
    <phoneticPr fontId="2" type="noConversion"/>
  </si>
  <si>
    <t>D</t>
    <phoneticPr fontId="2" type="noConversion"/>
  </si>
  <si>
    <t>白班保姆</t>
    <phoneticPr fontId="2" type="noConversion"/>
  </si>
  <si>
    <t>1598296****</t>
    <phoneticPr fontId="2" type="noConversion"/>
  </si>
  <si>
    <t>绵阳满翠庭</t>
    <phoneticPr fontId="2" type="noConversion"/>
  </si>
  <si>
    <t>不需要</t>
    <phoneticPr fontId="2" type="noConversion"/>
  </si>
  <si>
    <t>2/4不需要，妈妈来照顾她</t>
    <phoneticPr fontId="2" type="noConversion"/>
  </si>
  <si>
    <t>江波</t>
    <phoneticPr fontId="2" type="noConversion"/>
  </si>
  <si>
    <t>女</t>
    <phoneticPr fontId="2" type="noConversion"/>
  </si>
  <si>
    <t>住家保姆</t>
    <phoneticPr fontId="2" type="noConversion"/>
  </si>
  <si>
    <t>年后</t>
    <phoneticPr fontId="2" type="noConversion"/>
  </si>
  <si>
    <t>余晓芳</t>
    <phoneticPr fontId="2" type="noConversion"/>
  </si>
  <si>
    <t>曹孝颜</t>
    <phoneticPr fontId="2" type="noConversion"/>
  </si>
  <si>
    <t>10月下户</t>
    <phoneticPr fontId="2" type="noConversion"/>
  </si>
  <si>
    <t>邓国芳</t>
    <phoneticPr fontId="2" type="noConversion"/>
  </si>
  <si>
    <t xml:space="preserve">年后接单 </t>
    <phoneticPr fontId="2" type="noConversion"/>
  </si>
  <si>
    <t>海南 苏先生</t>
    <phoneticPr fontId="2" type="noConversion"/>
  </si>
  <si>
    <t>王明惠</t>
    <phoneticPr fontId="2" type="noConversion"/>
  </si>
  <si>
    <t>是否会开车</t>
    <phoneticPr fontId="2" type="noConversion"/>
  </si>
  <si>
    <t>会开车</t>
    <phoneticPr fontId="2" type="noConversion"/>
  </si>
  <si>
    <t>2/5未打通</t>
    <phoneticPr fontId="2" type="noConversion"/>
  </si>
  <si>
    <t>谢维</t>
    <phoneticPr fontId="2" type="noConversion"/>
  </si>
  <si>
    <t>照顾妈妈 年后看情况</t>
    <phoneticPr fontId="2" type="noConversion"/>
  </si>
  <si>
    <t>贺贺</t>
    <phoneticPr fontId="2" type="noConversion"/>
  </si>
  <si>
    <t>爱洒水的宗同学</t>
    <phoneticPr fontId="2" type="noConversion"/>
  </si>
  <si>
    <t>A</t>
    <phoneticPr fontId="2" type="noConversion"/>
  </si>
  <si>
    <t>谭先生</t>
    <phoneticPr fontId="2" type="noConversion"/>
  </si>
  <si>
    <t>三台龙溪镇</t>
    <phoneticPr fontId="2" type="noConversion"/>
  </si>
  <si>
    <t>陪护80岁男老人 做饭做家务 20平米 有独立房间，老人吸氧  晚上不用陪 正月15后需要 薪资3000元/月</t>
    <phoneticPr fontId="2" type="noConversion"/>
  </si>
  <si>
    <t>推陈玉珍</t>
    <phoneticPr fontId="2" type="noConversion"/>
  </si>
  <si>
    <t>B</t>
    <phoneticPr fontId="2" type="noConversion"/>
  </si>
  <si>
    <t>陈先生</t>
    <phoneticPr fontId="2" type="noConversion"/>
  </si>
  <si>
    <t>安州</t>
    <phoneticPr fontId="2" type="noConversion"/>
  </si>
  <si>
    <t>三个大人+一岁半宝宝 做饭做家务 辅助带娃儿</t>
    <phoneticPr fontId="2" type="noConversion"/>
  </si>
  <si>
    <t>C</t>
    <phoneticPr fontId="2" type="noConversion"/>
  </si>
  <si>
    <t>钟点工</t>
    <phoneticPr fontId="2" type="noConversion"/>
  </si>
  <si>
    <t>1578150****</t>
    <phoneticPr fontId="2" type="noConversion"/>
  </si>
  <si>
    <t>绵阳</t>
    <phoneticPr fontId="2" type="noConversion"/>
  </si>
  <si>
    <t>大年三十-初五做两个老人的饭 报价200-250，说太贵</t>
    <phoneticPr fontId="2" type="noConversion"/>
  </si>
  <si>
    <t>D</t>
    <phoneticPr fontId="2" type="noConversion"/>
  </si>
  <si>
    <t>1925093****</t>
    <phoneticPr fontId="2" type="noConversion"/>
  </si>
  <si>
    <t>转品类-保洁</t>
    <phoneticPr fontId="2" type="noConversion"/>
  </si>
  <si>
    <t>贺贺</t>
    <phoneticPr fontId="2" type="noConversion"/>
  </si>
  <si>
    <t>温总爱哭泣</t>
    <phoneticPr fontId="2" type="noConversion"/>
  </si>
  <si>
    <t>白班保姆</t>
    <phoneticPr fontId="2" type="noConversion"/>
  </si>
  <si>
    <t>1525142****</t>
    <phoneticPr fontId="2" type="noConversion"/>
  </si>
  <si>
    <t>六里村</t>
    <phoneticPr fontId="2" type="noConversion"/>
  </si>
  <si>
    <t>龙翠</t>
    <phoneticPr fontId="2" type="noConversion"/>
  </si>
  <si>
    <t>年后</t>
    <phoneticPr fontId="2" type="noConversion"/>
  </si>
  <si>
    <t>欧家坝</t>
    <phoneticPr fontId="2" type="noConversion"/>
  </si>
  <si>
    <t>冯玲玲</t>
    <phoneticPr fontId="2" type="noConversion"/>
  </si>
  <si>
    <t>蒋菊明</t>
    <phoneticPr fontId="2" type="noConversion"/>
  </si>
  <si>
    <t>钟点工</t>
    <phoneticPr fontId="2" type="noConversion"/>
  </si>
  <si>
    <t>绵阳中心医院电梯公寓</t>
    <phoneticPr fontId="2" type="noConversion"/>
  </si>
  <si>
    <t>190平米房子 一周打扫三次</t>
    <phoneticPr fontId="2" type="noConversion"/>
  </si>
  <si>
    <t>贺贺</t>
    <phoneticPr fontId="2" type="noConversion"/>
  </si>
  <si>
    <t>高老师</t>
    <phoneticPr fontId="2" type="noConversion"/>
  </si>
  <si>
    <t>范女士</t>
    <phoneticPr fontId="2" type="noConversion"/>
  </si>
  <si>
    <t>钟点工</t>
    <phoneticPr fontId="2" type="noConversion"/>
  </si>
  <si>
    <t>推李学军</t>
    <phoneticPr fontId="2" type="noConversion"/>
  </si>
  <si>
    <t>女</t>
    <phoneticPr fontId="2" type="noConversion"/>
  </si>
  <si>
    <t>游仙</t>
    <phoneticPr fontId="2" type="noConversion"/>
  </si>
  <si>
    <t>李学军</t>
    <phoneticPr fontId="2" type="noConversion"/>
  </si>
  <si>
    <t>小岛英才教师公寓</t>
    <phoneticPr fontId="2" type="noConversion"/>
  </si>
  <si>
    <t>做1-2个人的饭 面积100平米</t>
    <phoneticPr fontId="2" type="noConversion"/>
  </si>
  <si>
    <t>年初十上户</t>
    <phoneticPr fontId="2" type="noConversion"/>
  </si>
  <si>
    <t>令人愉快的井师傅</t>
    <phoneticPr fontId="2" type="noConversion"/>
  </si>
  <si>
    <t>住家保姆</t>
    <phoneticPr fontId="2" type="noConversion"/>
  </si>
  <si>
    <t>1598462****</t>
    <phoneticPr fontId="2" type="noConversion"/>
  </si>
  <si>
    <t>绵阳</t>
    <phoneticPr fontId="2" type="noConversion"/>
  </si>
  <si>
    <t>D</t>
    <phoneticPr fontId="2" type="noConversion"/>
  </si>
  <si>
    <t>A</t>
    <phoneticPr fontId="2" type="noConversion"/>
  </si>
  <si>
    <t>阿姨工资太高</t>
    <phoneticPr fontId="2" type="noConversion"/>
  </si>
  <si>
    <t>用户2371</t>
    <phoneticPr fontId="2" type="noConversion"/>
  </si>
  <si>
    <t>1939975****</t>
    <phoneticPr fontId="2" type="noConversion"/>
  </si>
  <si>
    <t>白班保姆</t>
    <phoneticPr fontId="2" type="noConversion"/>
  </si>
  <si>
    <t>不需要了</t>
    <phoneticPr fontId="2" type="noConversion"/>
  </si>
  <si>
    <t>郑雯</t>
    <phoneticPr fontId="2" type="noConversion"/>
  </si>
  <si>
    <t>1862958****</t>
    <phoneticPr fontId="2" type="noConversion"/>
  </si>
  <si>
    <t>安州银都宝座</t>
    <phoneticPr fontId="2" type="noConversion"/>
  </si>
  <si>
    <t>二次流转</t>
    <phoneticPr fontId="2" type="noConversion"/>
  </si>
  <si>
    <t>住家育儿嫂</t>
    <phoneticPr fontId="2" type="noConversion"/>
  </si>
  <si>
    <t>周女士</t>
    <phoneticPr fontId="2" type="noConversion"/>
  </si>
  <si>
    <t>江油</t>
    <phoneticPr fontId="2" type="noConversion"/>
  </si>
  <si>
    <t>照顾11个月宝宝  给宝妈做一顿饭</t>
    <phoneticPr fontId="2" type="noConversion"/>
  </si>
  <si>
    <t>贺小庆</t>
    <phoneticPr fontId="2" type="noConversion"/>
  </si>
  <si>
    <t>满意，想试工三天</t>
    <phoneticPr fontId="2" type="noConversion"/>
  </si>
  <si>
    <t>满意，丈母娘来照顾宝妈</t>
    <phoneticPr fontId="2" type="noConversion"/>
  </si>
  <si>
    <t>只用1个月，2/7退款</t>
    <phoneticPr fontId="2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</si>
  <si>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026/</t>
    </r>
    <r>
      <rPr>
        <sz val="11"/>
        <color theme="1"/>
        <rFont val="宋体"/>
        <charset val="134"/>
        <scheme val="minor"/>
      </rPr>
      <t>1/23换黄建群</t>
    </r>
    <phoneticPr fontId="2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</si>
  <si>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026/1/</t>
    </r>
    <phoneticPr fontId="2" type="noConversion"/>
  </si>
  <si>
    <t>照顾90岁男老人 能自理 面积50平米 有独立房间 2026年1月份上班</t>
    <phoneticPr fontId="2" type="noConversion"/>
  </si>
  <si>
    <t>照顾满月男宝宝一切，有独立房间</t>
    <phoneticPr fontId="2" type="noConversion"/>
  </si>
  <si>
    <t>服务费太高，自己找到了</t>
    <phoneticPr fontId="2" type="noConversion"/>
  </si>
  <si>
    <t>推王碧华，</t>
    <phoneticPr fontId="2" type="noConversion"/>
  </si>
  <si>
    <t>1/17跟老公商量，1/19不需要了</t>
    <phoneticPr fontId="2" type="noConversion"/>
  </si>
  <si>
    <t>后面不接电话，不回信息</t>
    <phoneticPr fontId="2" type="noConversion"/>
  </si>
  <si>
    <t>咨询</t>
    <phoneticPr fontId="2" type="noConversion"/>
  </si>
  <si>
    <t>1/22不需要</t>
    <phoneticPr fontId="2" type="noConversion"/>
  </si>
  <si>
    <t>要试工</t>
    <phoneticPr fontId="2" type="noConversion"/>
  </si>
  <si>
    <t>1/10不需要 朋友介绍了</t>
    <phoneticPr fontId="2" type="noConversion"/>
  </si>
  <si>
    <t>1/21和家人商量</t>
    <phoneticPr fontId="2" type="noConversion"/>
  </si>
  <si>
    <t>不回信息</t>
    <phoneticPr fontId="2" type="noConversion"/>
  </si>
  <si>
    <t>签三个月合同，不同意</t>
    <phoneticPr fontId="2" type="noConversion"/>
  </si>
  <si>
    <t>签约刘晓华</t>
    <phoneticPr fontId="2" type="noConversion"/>
  </si>
  <si>
    <t>老公没时间面试，拖到年后找，肖秀蓉 丁小华</t>
    <phoneticPr fontId="2" type="noConversion"/>
  </si>
  <si>
    <t>1/30已经去月子中心</t>
    <phoneticPr fontId="2" type="noConversion"/>
  </si>
  <si>
    <t>2/3丈母娘来了，暂时不需要，3.4月份可能需要阿姨</t>
    <phoneticPr fontId="2" type="noConversion"/>
  </si>
  <si>
    <t>2/4年后再考虑要不要</t>
    <phoneticPr fontId="2" type="noConversion"/>
  </si>
  <si>
    <t>曹女士</t>
    <phoneticPr fontId="2" type="noConversion"/>
  </si>
  <si>
    <t>2/8面试刘春玉 刘群英</t>
    <phoneticPr fontId="2" type="noConversion"/>
  </si>
  <si>
    <t>2/8周一回复</t>
    <phoneticPr fontId="2" type="noConversion"/>
  </si>
  <si>
    <t>贺贺</t>
    <phoneticPr fontId="2" type="noConversion"/>
  </si>
  <si>
    <t>爱买花的罗师傅</t>
    <phoneticPr fontId="2" type="noConversion"/>
  </si>
  <si>
    <t>D</t>
    <phoneticPr fontId="2" type="noConversion"/>
  </si>
  <si>
    <t>住家保姆</t>
    <phoneticPr fontId="2" type="noConversion"/>
  </si>
  <si>
    <t>1805798****</t>
    <phoneticPr fontId="2" type="noConversion"/>
  </si>
  <si>
    <t>绵阳</t>
    <phoneticPr fontId="2" type="noConversion"/>
  </si>
  <si>
    <t>B</t>
    <phoneticPr fontId="2" type="noConversion"/>
  </si>
  <si>
    <t>钟点工</t>
    <phoneticPr fontId="2" type="noConversion"/>
  </si>
  <si>
    <t>两个80岁自理老人 做饭2-3小时，需要回家跟老人商量</t>
    <phoneticPr fontId="2" type="noConversion"/>
  </si>
  <si>
    <t>张女士</t>
    <phoneticPr fontId="2" type="noConversion"/>
  </si>
  <si>
    <t>贺贺</t>
    <phoneticPr fontId="2" type="noConversion"/>
  </si>
  <si>
    <t>白班保姆</t>
    <phoneticPr fontId="2" type="noConversion"/>
  </si>
  <si>
    <t>刘先生</t>
    <phoneticPr fontId="2" type="noConversion"/>
  </si>
  <si>
    <t>B</t>
    <phoneticPr fontId="2" type="noConversion"/>
  </si>
  <si>
    <t>绵阳</t>
    <phoneticPr fontId="2" type="noConversion"/>
  </si>
  <si>
    <t>帮朋友问</t>
    <phoneticPr fontId="2" type="noConversion"/>
  </si>
  <si>
    <t>蔡新华</t>
    <phoneticPr fontId="2" type="noConversion"/>
  </si>
  <si>
    <t>A</t>
    <phoneticPr fontId="2" type="noConversion"/>
  </si>
  <si>
    <t>蔡先生</t>
    <phoneticPr fontId="2" type="noConversion"/>
  </si>
  <si>
    <t>住家育儿嫂</t>
    <phoneticPr fontId="2" type="noConversion"/>
  </si>
  <si>
    <t>永兴</t>
    <phoneticPr fontId="2" type="noConversion"/>
  </si>
  <si>
    <t>一岁男宝 带睡</t>
    <phoneticPr fontId="2" type="noConversion"/>
  </si>
  <si>
    <t>王玉芳 贺小庆 赵艳</t>
    <phoneticPr fontId="2" type="noConversion"/>
  </si>
  <si>
    <t>D</t>
    <phoneticPr fontId="2" type="noConversion"/>
  </si>
  <si>
    <t>住家保姆</t>
    <phoneticPr fontId="2" type="noConversion"/>
  </si>
  <si>
    <t>1568123****</t>
    <phoneticPr fontId="2" type="noConversion"/>
  </si>
  <si>
    <t>老客户</t>
    <phoneticPr fontId="2" type="noConversion"/>
  </si>
  <si>
    <t>曹颜佳</t>
    <phoneticPr fontId="2" type="noConversion"/>
  </si>
  <si>
    <t>华润紫云府</t>
    <phoneticPr fontId="2" type="noConversion"/>
  </si>
  <si>
    <t>中做一个人的饭+晚饭2-3个人 做饭做家务 辅助带娃</t>
    <phoneticPr fontId="2" type="noConversion"/>
  </si>
  <si>
    <t>签约刘群英</t>
    <phoneticPr fontId="2" type="noConversion"/>
  </si>
  <si>
    <t>刘春玉
刘群英
缪穆秀</t>
    <phoneticPr fontId="2" type="noConversion"/>
  </si>
  <si>
    <t>13550803295
17308184033
13890155315</t>
    <phoneticPr fontId="2" type="noConversion"/>
  </si>
  <si>
    <t>满意刘春玉+刘群英</t>
    <phoneticPr fontId="2" type="noConversion"/>
  </si>
  <si>
    <t>转介绍</t>
    <phoneticPr fontId="2" type="noConversion"/>
  </si>
  <si>
    <t>钟点工</t>
    <phoneticPr fontId="2" type="noConversion"/>
  </si>
  <si>
    <t>范女士</t>
    <phoneticPr fontId="2" type="noConversion"/>
  </si>
  <si>
    <t>小岛花园</t>
    <phoneticPr fontId="2" type="noConversion"/>
  </si>
  <si>
    <t>2-4个人的饭菜 做饭打扫卫生，面积100平米</t>
    <phoneticPr fontId="2" type="noConversion"/>
  </si>
  <si>
    <t>李学军</t>
    <phoneticPr fontId="2" type="noConversion"/>
  </si>
  <si>
    <t>想要试工</t>
    <phoneticPr fontId="2" type="noConversion"/>
  </si>
  <si>
    <t>园艺山华润紫云府6栋1单元1902</t>
    <phoneticPr fontId="2" type="noConversion"/>
  </si>
  <si>
    <t>中做一个人的饭+晚饭2-3个人 做饭做家务 辅助带娃 面积80平米</t>
    <phoneticPr fontId="2" type="noConversion"/>
  </si>
  <si>
    <t>刘群英</t>
    <phoneticPr fontId="2" type="noConversion"/>
  </si>
  <si>
    <t>3300元/月</t>
    <phoneticPr fontId="2" type="noConversion"/>
  </si>
  <si>
    <t>贺贺</t>
    <phoneticPr fontId="2" type="noConversion"/>
  </si>
  <si>
    <t>D</t>
    <phoneticPr fontId="2" type="noConversion"/>
  </si>
  <si>
    <t>B</t>
    <phoneticPr fontId="2" type="noConversion"/>
  </si>
  <si>
    <t>钟点工</t>
    <phoneticPr fontId="2" type="noConversion"/>
  </si>
  <si>
    <t>1841279****</t>
    <phoneticPr fontId="2" type="noConversion"/>
  </si>
  <si>
    <t>绵阳</t>
    <phoneticPr fontId="2" type="noConversion"/>
  </si>
  <si>
    <t>一周一次  130平米 打扫卫生</t>
    <phoneticPr fontId="2" type="noConversion"/>
  </si>
  <si>
    <t>爱行走的候老板</t>
    <phoneticPr fontId="2" type="noConversion"/>
  </si>
  <si>
    <t>1838133****</t>
    <phoneticPr fontId="2" type="noConversion"/>
  </si>
  <si>
    <t>贺贺</t>
    <phoneticPr fontId="2" type="noConversion"/>
  </si>
  <si>
    <t>住家保姆</t>
    <phoneticPr fontId="2" type="noConversion"/>
  </si>
  <si>
    <t>绵阳</t>
    <phoneticPr fontId="2" type="noConversion"/>
  </si>
  <si>
    <t>和善的关总</t>
    <phoneticPr fontId="2" type="noConversion"/>
  </si>
  <si>
    <t>C</t>
    <phoneticPr fontId="2" type="noConversion"/>
  </si>
  <si>
    <t>1367823****</t>
    <phoneticPr fontId="2" type="noConversion"/>
  </si>
  <si>
    <t>未接通</t>
    <phoneticPr fontId="2" type="noConversion"/>
  </si>
  <si>
    <t>贺贺</t>
    <phoneticPr fontId="2" type="noConversion"/>
  </si>
  <si>
    <t>燕子</t>
    <phoneticPr fontId="2" type="noConversion"/>
  </si>
  <si>
    <t>C</t>
    <phoneticPr fontId="2" type="noConversion"/>
  </si>
  <si>
    <t>住家保姆</t>
    <phoneticPr fontId="2" type="noConversion"/>
  </si>
  <si>
    <t>1878032****</t>
    <phoneticPr fontId="2" type="noConversion"/>
  </si>
  <si>
    <t xml:space="preserve">黄土镇79岁女老人 半自理 不留电话 </t>
    <phoneticPr fontId="2" type="noConversion"/>
  </si>
  <si>
    <t>于江雯</t>
    <phoneticPr fontId="2" type="noConversion"/>
  </si>
  <si>
    <t>B</t>
    <phoneticPr fontId="2" type="noConversion"/>
  </si>
  <si>
    <t>钟点工</t>
    <phoneticPr fontId="2" type="noConversion"/>
  </si>
  <si>
    <t>1878113****</t>
    <phoneticPr fontId="2" type="noConversion"/>
  </si>
  <si>
    <t>绵阳</t>
    <phoneticPr fontId="2" type="noConversion"/>
  </si>
  <si>
    <t xml:space="preserve">接送3岁孩子 托班 打扫卫生100平米 陪孩子到父母下班 </t>
    <phoneticPr fontId="2" type="noConversion"/>
  </si>
  <si>
    <t>已加微信 和家人商量</t>
    <phoneticPr fontId="2" type="noConversion"/>
  </si>
  <si>
    <t>魏琼林</t>
    <phoneticPr fontId="2" type="noConversion"/>
  </si>
  <si>
    <t>贺贺</t>
    <phoneticPr fontId="2" type="noConversion"/>
  </si>
  <si>
    <t>女</t>
    <phoneticPr fontId="2" type="noConversion"/>
  </si>
  <si>
    <t>涪城区</t>
    <phoneticPr fontId="2" type="noConversion"/>
  </si>
  <si>
    <t>钟点工</t>
    <phoneticPr fontId="2" type="noConversion"/>
  </si>
  <si>
    <t>接下午班</t>
    <phoneticPr fontId="2" type="noConversion"/>
  </si>
  <si>
    <t>新线索</t>
    <phoneticPr fontId="2" type="noConversion"/>
  </si>
  <si>
    <t>充满温暖强同学</t>
    <phoneticPr fontId="2" type="noConversion"/>
  </si>
  <si>
    <t>D</t>
    <phoneticPr fontId="2" type="noConversion"/>
  </si>
  <si>
    <t>1868367****</t>
    <phoneticPr fontId="2" type="noConversion"/>
  </si>
  <si>
    <t>绵阳</t>
    <phoneticPr fontId="2" type="noConversion"/>
  </si>
  <si>
    <t>不需要</t>
    <phoneticPr fontId="2" type="noConversion"/>
  </si>
  <si>
    <t>秦得雨</t>
    <phoneticPr fontId="2" type="noConversion"/>
  </si>
  <si>
    <t>B</t>
    <phoneticPr fontId="2" type="noConversion"/>
  </si>
  <si>
    <t>住家育儿嫂</t>
    <phoneticPr fontId="2" type="noConversion"/>
  </si>
  <si>
    <t>照顾6个月宝宝  咨询了解 和家人商量一个月后需要</t>
    <phoneticPr fontId="2" type="noConversion"/>
  </si>
  <si>
    <t>C</t>
    <phoneticPr fontId="2" type="noConversion"/>
  </si>
  <si>
    <t>白班保姆</t>
    <phoneticPr fontId="2" type="noConversion"/>
  </si>
  <si>
    <t>舒春华</t>
    <phoneticPr fontId="2" type="noConversion"/>
  </si>
  <si>
    <t>游仙</t>
    <phoneticPr fontId="2" type="noConversion"/>
  </si>
  <si>
    <t>两三岁的娃娃 住家 白班 都可以接</t>
    <phoneticPr fontId="2" type="noConversion"/>
  </si>
  <si>
    <t>住家 白班</t>
    <phoneticPr fontId="2" type="noConversion"/>
  </si>
  <si>
    <t>会开车</t>
    <phoneticPr fontId="2" type="noConversion"/>
  </si>
  <si>
    <t>陈敏</t>
    <phoneticPr fontId="2" type="noConversion"/>
  </si>
  <si>
    <t>住家保姆</t>
    <phoneticPr fontId="2" type="noConversion"/>
  </si>
  <si>
    <t>段加友</t>
    <phoneticPr fontId="2" type="noConversion"/>
  </si>
  <si>
    <t>御营坝</t>
    <phoneticPr fontId="2" type="noConversion"/>
  </si>
  <si>
    <t>龚述英</t>
    <phoneticPr fontId="2" type="noConversion"/>
  </si>
  <si>
    <t>可接下午单</t>
    <phoneticPr fontId="2" type="noConversion"/>
  </si>
  <si>
    <t>孟和英</t>
    <phoneticPr fontId="2" type="noConversion"/>
  </si>
  <si>
    <t>接双休单子</t>
    <phoneticPr fontId="2" type="noConversion"/>
  </si>
  <si>
    <t>刘春兰</t>
    <phoneticPr fontId="2" type="noConversion"/>
  </si>
  <si>
    <t xml:space="preserve">钟点工 </t>
    <phoneticPr fontId="2" type="noConversion"/>
  </si>
  <si>
    <t>上午单子可接</t>
    <phoneticPr fontId="2" type="noConversion"/>
  </si>
  <si>
    <t>女</t>
    <phoneticPr fontId="2" type="noConversion"/>
  </si>
  <si>
    <t>工资期望高点 比如钟点工薪资2000，觉得少了</t>
    <phoneticPr fontId="2" type="noConversion"/>
  </si>
  <si>
    <t>火车站</t>
    <phoneticPr fontId="2" type="noConversion"/>
  </si>
  <si>
    <t>钟点工 白班</t>
    <phoneticPr fontId="2" type="noConversion"/>
  </si>
  <si>
    <t>接下午单</t>
    <phoneticPr fontId="2" type="noConversion"/>
  </si>
  <si>
    <t>廖春容</t>
    <phoneticPr fontId="2" type="noConversion"/>
  </si>
  <si>
    <t>杨小红</t>
    <phoneticPr fontId="2" type="noConversion"/>
  </si>
  <si>
    <t>六里村</t>
    <phoneticPr fontId="2" type="noConversion"/>
  </si>
  <si>
    <t>高水</t>
    <phoneticPr fontId="2" type="noConversion"/>
  </si>
  <si>
    <t>张天秀</t>
    <phoneticPr fontId="2" type="noConversion"/>
  </si>
  <si>
    <t>贺贺</t>
    <phoneticPr fontId="2" type="noConversion"/>
  </si>
  <si>
    <t>钟点工</t>
    <phoneticPr fontId="2" type="noConversion"/>
  </si>
  <si>
    <t>背调不通过</t>
    <phoneticPr fontId="2" type="noConversion"/>
  </si>
  <si>
    <t>爱享受的巫博士</t>
    <phoneticPr fontId="2" type="noConversion"/>
  </si>
  <si>
    <t>D</t>
    <phoneticPr fontId="2" type="noConversion"/>
  </si>
  <si>
    <t>住家保姆</t>
    <phoneticPr fontId="2" type="noConversion"/>
  </si>
  <si>
    <t>1351602****</t>
    <phoneticPr fontId="2" type="noConversion"/>
  </si>
  <si>
    <t>绵阳</t>
    <phoneticPr fontId="2" type="noConversion"/>
  </si>
  <si>
    <t>用户25170</t>
    <phoneticPr fontId="2" type="noConversion"/>
  </si>
  <si>
    <t>C</t>
    <phoneticPr fontId="2" type="noConversion"/>
  </si>
  <si>
    <t>1568195****</t>
    <phoneticPr fontId="2" type="noConversion"/>
  </si>
  <si>
    <t>高新区</t>
    <phoneticPr fontId="2" type="noConversion"/>
  </si>
  <si>
    <t>考虑一下 不留电话</t>
    <phoneticPr fontId="2" type="noConversion"/>
  </si>
  <si>
    <t>住家育儿嫂</t>
    <phoneticPr fontId="2" type="noConversion"/>
  </si>
  <si>
    <t>贺贺</t>
    <phoneticPr fontId="2" type="noConversion"/>
  </si>
  <si>
    <t>绵阳</t>
    <phoneticPr fontId="2" type="noConversion"/>
  </si>
  <si>
    <t>D</t>
    <phoneticPr fontId="2" type="noConversion"/>
  </si>
  <si>
    <t>安州云著天境小区8号楼1单元201室</t>
    <phoneticPr fontId="2" type="noConversion"/>
  </si>
  <si>
    <t>带新生儿+做月子餐</t>
    <phoneticPr fontId="2" type="noConversion"/>
  </si>
  <si>
    <t>贺贺</t>
    <phoneticPr fontId="2" type="noConversion"/>
  </si>
  <si>
    <t>女</t>
    <phoneticPr fontId="2" type="noConversion"/>
  </si>
  <si>
    <t>住家保姆</t>
    <phoneticPr fontId="2" type="noConversion"/>
  </si>
  <si>
    <t>新手</t>
    <phoneticPr fontId="2" type="noConversion"/>
  </si>
  <si>
    <t>张腊梅</t>
    <phoneticPr fontId="2" type="noConversion"/>
  </si>
  <si>
    <t>贺贺</t>
    <phoneticPr fontId="2" type="noConversion"/>
  </si>
  <si>
    <t>范小蓉</t>
    <phoneticPr fontId="2" type="noConversion"/>
  </si>
  <si>
    <t>女</t>
    <phoneticPr fontId="2" type="noConversion"/>
  </si>
  <si>
    <t>园艺山</t>
    <phoneticPr fontId="2" type="noConversion"/>
  </si>
  <si>
    <t>白班保姆</t>
    <phoneticPr fontId="2" type="noConversion"/>
  </si>
  <si>
    <t>上户中</t>
    <phoneticPr fontId="2" type="noConversion"/>
  </si>
  <si>
    <t>吴健蓉</t>
    <phoneticPr fontId="2" type="noConversion"/>
  </si>
  <si>
    <t>金家林</t>
    <phoneticPr fontId="2" type="noConversion"/>
  </si>
  <si>
    <t>暂时不接单</t>
    <phoneticPr fontId="2" type="noConversion"/>
  </si>
  <si>
    <t>2/27自己家人照顾</t>
    <phoneticPr fontId="2" type="noConversion"/>
  </si>
  <si>
    <t>张桂琼</t>
    <phoneticPr fontId="2" type="noConversion"/>
  </si>
  <si>
    <t>钟点工</t>
    <phoneticPr fontId="2" type="noConversion"/>
  </si>
  <si>
    <t>范青</t>
    <phoneticPr fontId="2" type="noConversion"/>
  </si>
  <si>
    <t>D</t>
    <phoneticPr fontId="2" type="noConversion"/>
  </si>
  <si>
    <t>住家保姆</t>
    <phoneticPr fontId="2" type="noConversion"/>
  </si>
  <si>
    <t>1390811****</t>
    <phoneticPr fontId="2" type="noConversion"/>
  </si>
  <si>
    <t>绵阳</t>
    <phoneticPr fontId="2" type="noConversion"/>
  </si>
  <si>
    <t>已经找到</t>
    <phoneticPr fontId="2" type="noConversion"/>
  </si>
  <si>
    <t>用户85762</t>
    <phoneticPr fontId="2" type="noConversion"/>
  </si>
  <si>
    <t>A</t>
    <phoneticPr fontId="2" type="noConversion"/>
  </si>
  <si>
    <t>九州云栖湖</t>
    <phoneticPr fontId="2" type="noConversion"/>
  </si>
  <si>
    <t>3个大人的饭 +400平米的卫生</t>
    <phoneticPr fontId="2" type="noConversion"/>
  </si>
  <si>
    <t>huaipiqillj</t>
    <phoneticPr fontId="2" type="noConversion"/>
  </si>
  <si>
    <t>B</t>
    <phoneticPr fontId="2" type="noConversion"/>
  </si>
  <si>
    <t>1528116****</t>
    <phoneticPr fontId="2" type="noConversion"/>
  </si>
  <si>
    <t>帮朋友问，不留电话</t>
    <phoneticPr fontId="2" type="noConversion"/>
  </si>
  <si>
    <t>江油西山公园</t>
    <phoneticPr fontId="2" type="noConversion"/>
  </si>
  <si>
    <t xml:space="preserve">做两个大人的饭，面积160平米 </t>
    <phoneticPr fontId="2" type="noConversion"/>
  </si>
  <si>
    <t>推李蓉</t>
    <phoneticPr fontId="2" type="noConversion"/>
  </si>
  <si>
    <t>推张林燕</t>
    <phoneticPr fontId="2" type="noConversion"/>
  </si>
  <si>
    <t>傅敏</t>
    <phoneticPr fontId="2" type="noConversion"/>
  </si>
  <si>
    <t>照顾11个月宝宝 带睡 面积60平米</t>
    <phoneticPr fontId="2" type="noConversion"/>
  </si>
  <si>
    <t>推白文群 苗金兰</t>
    <phoneticPr fontId="2" type="noConversion"/>
  </si>
  <si>
    <t>郭女士</t>
    <phoneticPr fontId="2" type="noConversion"/>
  </si>
  <si>
    <t>范女士</t>
    <phoneticPr fontId="2" type="noConversion"/>
  </si>
  <si>
    <t>泛泛</t>
    <phoneticPr fontId="2" type="noConversion"/>
  </si>
  <si>
    <t>英才教师公寓</t>
    <phoneticPr fontId="2" type="noConversion"/>
  </si>
  <si>
    <t>1-2个人的中饭 面积100平米</t>
    <phoneticPr fontId="2" type="noConversion"/>
  </si>
  <si>
    <t>ea65x1buw</t>
    <phoneticPr fontId="2" type="noConversion"/>
  </si>
  <si>
    <t>王先生</t>
    <phoneticPr fontId="2" type="noConversion"/>
  </si>
  <si>
    <t>嘉来南河广场</t>
    <phoneticPr fontId="2" type="noConversion"/>
  </si>
  <si>
    <t>2个大人+2个小孩的两餐，打扫卫生60平米 洗衣服</t>
    <phoneticPr fontId="2" type="noConversion"/>
  </si>
  <si>
    <t>推尤小华</t>
    <phoneticPr fontId="2" type="noConversion"/>
  </si>
  <si>
    <t>1390901****</t>
    <phoneticPr fontId="2" type="noConversion"/>
  </si>
  <si>
    <t xml:space="preserve">咨询考虑 23个人的饭 买菜 洗碗 打扫卫生 不留电话 </t>
    <phoneticPr fontId="2" type="noConversion"/>
  </si>
  <si>
    <t>张天秀-背调不通过
龚丽蓉</t>
    <phoneticPr fontId="2" type="noConversion"/>
  </si>
  <si>
    <t>赵玉碧</t>
    <phoneticPr fontId="2" type="noConversion"/>
  </si>
  <si>
    <t>女</t>
    <phoneticPr fontId="2" type="noConversion"/>
  </si>
  <si>
    <t>住家保姆</t>
    <phoneticPr fontId="2" type="noConversion"/>
  </si>
  <si>
    <t>做菜厉害</t>
    <phoneticPr fontId="2" type="noConversion"/>
  </si>
  <si>
    <t>魏晓英</t>
    <phoneticPr fontId="2" type="noConversion"/>
  </si>
  <si>
    <t>贺贺</t>
    <phoneticPr fontId="2" type="noConversion"/>
  </si>
  <si>
    <t>di5geejfs</t>
    <phoneticPr fontId="2" type="noConversion"/>
  </si>
  <si>
    <t>C</t>
    <phoneticPr fontId="2" type="noConversion"/>
  </si>
  <si>
    <t>1838058****</t>
    <phoneticPr fontId="2" type="noConversion"/>
  </si>
  <si>
    <t>绵阳</t>
    <phoneticPr fontId="2" type="noConversion"/>
  </si>
  <si>
    <t>不需要</t>
    <phoneticPr fontId="2" type="noConversion"/>
  </si>
  <si>
    <t>钟点工</t>
    <phoneticPr fontId="2" type="noConversion"/>
  </si>
  <si>
    <t>1590824****</t>
    <phoneticPr fontId="2" type="noConversion"/>
  </si>
  <si>
    <t>魏晓雪</t>
    <phoneticPr fontId="2" type="noConversion"/>
  </si>
  <si>
    <t>1832840****</t>
    <phoneticPr fontId="2" type="noConversion"/>
  </si>
  <si>
    <t>陈晓萱</t>
    <phoneticPr fontId="2" type="noConversion"/>
  </si>
  <si>
    <t>无人接听</t>
    <phoneticPr fontId="2" type="noConversion"/>
  </si>
  <si>
    <t>1878101****</t>
    <phoneticPr fontId="2" type="noConversion"/>
  </si>
  <si>
    <t>李小丽</t>
    <phoneticPr fontId="2" type="noConversion"/>
  </si>
  <si>
    <t>A</t>
    <phoneticPr fontId="2" type="noConversion"/>
  </si>
  <si>
    <t>1560902****</t>
    <phoneticPr fontId="2" type="noConversion"/>
  </si>
  <si>
    <t xml:space="preserve">照顾孩子 周内80元一次 周天150元一次 </t>
    <phoneticPr fontId="2" type="noConversion"/>
  </si>
  <si>
    <t>南山中学</t>
    <phoneticPr fontId="2" type="noConversion"/>
  </si>
  <si>
    <t>3个大人的饭 +200平米的卫生，两狗一猫，周末节假日宴请朋友吃饭</t>
    <phoneticPr fontId="2" type="noConversion"/>
  </si>
  <si>
    <t>A</t>
    <phoneticPr fontId="2" type="noConversion"/>
  </si>
  <si>
    <t>贺贺</t>
    <phoneticPr fontId="2" type="noConversion"/>
  </si>
  <si>
    <t>王凤娇</t>
    <phoneticPr fontId="2" type="noConversion"/>
  </si>
  <si>
    <t>C</t>
    <phoneticPr fontId="2" type="noConversion"/>
  </si>
  <si>
    <t>白班保姆</t>
    <phoneticPr fontId="2" type="noConversion"/>
  </si>
  <si>
    <t>1538666****</t>
    <phoneticPr fontId="2" type="noConversion"/>
  </si>
  <si>
    <t>绵阳</t>
    <phoneticPr fontId="2" type="noConversion"/>
  </si>
  <si>
    <t>不需要了</t>
    <phoneticPr fontId="2" type="noConversion"/>
  </si>
  <si>
    <t>D</t>
    <phoneticPr fontId="2" type="noConversion"/>
  </si>
  <si>
    <t>贺贺</t>
    <phoneticPr fontId="2" type="noConversion"/>
  </si>
  <si>
    <t>王永</t>
    <phoneticPr fontId="2" type="noConversion"/>
  </si>
  <si>
    <t>D</t>
    <phoneticPr fontId="2" type="noConversion"/>
  </si>
  <si>
    <t>钟点工</t>
    <phoneticPr fontId="2" type="noConversion"/>
  </si>
  <si>
    <t>1538664****</t>
    <phoneticPr fontId="2" type="noConversion"/>
  </si>
  <si>
    <t>绵阳</t>
    <phoneticPr fontId="2" type="noConversion"/>
  </si>
  <si>
    <t>男士找工作</t>
    <phoneticPr fontId="2" type="noConversion"/>
  </si>
</sst>
</file>

<file path=xl/styles.xml><?xml version="1.0" encoding="utf-8"?>
<styleSheet xmlns="http://schemas.openxmlformats.org/spreadsheetml/2006/main">
  <numFmts count="1">
    <numFmt numFmtId="176" formatCode="yyyy/m/d;@"/>
  </numFmts>
  <fonts count="9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11"/>
      <color rgb="FFFF0000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76" fontId="1" fillId="3" borderId="1" xfId="0" applyNumberFormat="1" applyFont="1" applyFill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176" fontId="0" fillId="6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shrinkToFit="1"/>
    </xf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>
      <alignment vertical="center"/>
    </xf>
    <xf numFmtId="0" fontId="3" fillId="0" borderId="0" xfId="0" applyFont="1" applyAlignment="1">
      <alignment horizontal="left" vertical="center"/>
    </xf>
    <xf numFmtId="0" fontId="3" fillId="7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0" borderId="1" xfId="0" applyBorder="1" applyAlignment="1">
      <alignment vertical="center" wrapText="1" shrinkToFi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>
      <alignment vertical="center"/>
    </xf>
    <xf numFmtId="0" fontId="0" fillId="3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14" fontId="1" fillId="8" borderId="1" xfId="0" applyNumberFormat="1" applyFont="1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9" borderId="1" xfId="0" applyNumberForma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11" fontId="0" fillId="0" borderId="1" xfId="0" applyNumberFormat="1" applyBorder="1" applyAlignment="1">
      <alignment horizontal="center" vertical="center"/>
    </xf>
    <xf numFmtId="14" fontId="3" fillId="0" borderId="1" xfId="0" applyNumberFormat="1" applyFont="1" applyBorder="1">
      <alignment vertical="center"/>
    </xf>
    <xf numFmtId="0" fontId="0" fillId="0" borderId="0" xfId="0" applyFill="1" applyAlignment="1">
      <alignment horizontal="center" vertical="center"/>
    </xf>
  </cellXfs>
  <cellStyles count="1">
    <cellStyle name="常规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78"/>
  <sheetViews>
    <sheetView tabSelected="1" zoomScaleNormal="100" workbookViewId="0">
      <pane ySplit="1" topLeftCell="A266" activePane="bottomLeft" state="frozen"/>
      <selection pane="bottomLeft" activeCell="K278" sqref="K278"/>
    </sheetView>
  </sheetViews>
  <sheetFormatPr defaultColWidth="9" defaultRowHeight="25.5" customHeight="1"/>
  <cols>
    <col min="1" max="1" width="11.5" style="6" customWidth="1"/>
    <col min="2" max="2" width="7" style="5" customWidth="1"/>
    <col min="3" max="3" width="9.875" style="5" customWidth="1"/>
    <col min="4" max="4" width="11.875" style="5" customWidth="1"/>
    <col min="5" max="5" width="4.5" style="5" customWidth="1"/>
    <col min="6" max="6" width="8" style="5" customWidth="1"/>
    <col min="7" max="7" width="10.5" style="5" customWidth="1"/>
    <col min="8" max="9" width="15.5" style="5" customWidth="1"/>
    <col min="10" max="10" width="38.75" style="7" customWidth="1"/>
    <col min="11" max="11" width="24.375" style="7" customWidth="1"/>
    <col min="12" max="16384" width="9" style="8"/>
  </cols>
  <sheetData>
    <row r="1" spans="1:11" s="1" customFormat="1" ht="25.5" customHeight="1">
      <c r="A1" s="53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6</v>
      </c>
      <c r="G1" s="30" t="s">
        <v>5</v>
      </c>
      <c r="H1" s="30" t="s">
        <v>7</v>
      </c>
      <c r="I1" s="30" t="s">
        <v>8</v>
      </c>
      <c r="J1" s="31" t="s">
        <v>9</v>
      </c>
      <c r="K1" s="32" t="s">
        <v>54</v>
      </c>
    </row>
    <row r="2" spans="1:11" s="24" customFormat="1" ht="25.5" customHeight="1">
      <c r="A2" s="54">
        <v>45997</v>
      </c>
      <c r="B2" s="22" t="s">
        <v>462</v>
      </c>
      <c r="C2" s="22" t="s">
        <v>500</v>
      </c>
      <c r="D2" s="22"/>
      <c r="E2" s="22"/>
      <c r="F2" s="22" t="s">
        <v>464</v>
      </c>
      <c r="G2" s="22" t="s">
        <v>463</v>
      </c>
      <c r="H2" s="22">
        <v>15182309545</v>
      </c>
      <c r="I2" s="22" t="s">
        <v>512</v>
      </c>
      <c r="J2" s="23" t="s">
        <v>465</v>
      </c>
      <c r="K2" s="36" t="s">
        <v>773</v>
      </c>
    </row>
    <row r="3" spans="1:11" ht="25.5" customHeight="1">
      <c r="A3" s="6">
        <v>45999</v>
      </c>
      <c r="B3" s="5" t="s">
        <v>462</v>
      </c>
      <c r="C3" s="5" t="s">
        <v>499</v>
      </c>
      <c r="D3" s="5" t="s">
        <v>467</v>
      </c>
      <c r="G3" s="5" t="s">
        <v>466</v>
      </c>
      <c r="H3" s="5" t="s">
        <v>507</v>
      </c>
      <c r="I3" s="5" t="s">
        <v>468</v>
      </c>
      <c r="K3" s="7" t="s">
        <v>469</v>
      </c>
    </row>
    <row r="4" spans="1:11" ht="25.5" customHeight="1">
      <c r="A4" s="6">
        <v>45999</v>
      </c>
      <c r="B4" s="5" t="s">
        <v>462</v>
      </c>
      <c r="C4" s="5" t="s">
        <v>499</v>
      </c>
      <c r="D4" s="5" t="s">
        <v>470</v>
      </c>
      <c r="G4" s="5" t="s">
        <v>466</v>
      </c>
      <c r="H4" s="5">
        <v>18990000542</v>
      </c>
      <c r="I4" s="5" t="s">
        <v>471</v>
      </c>
      <c r="K4" s="7" t="s">
        <v>472</v>
      </c>
    </row>
    <row r="5" spans="1:11" ht="25.5" customHeight="1">
      <c r="A5" s="6">
        <v>45999</v>
      </c>
      <c r="B5" s="5" t="s">
        <v>462</v>
      </c>
      <c r="C5" s="5" t="s">
        <v>499</v>
      </c>
      <c r="D5" s="5" t="s">
        <v>473</v>
      </c>
      <c r="G5" s="5" t="s">
        <v>466</v>
      </c>
      <c r="H5" s="5" t="s">
        <v>508</v>
      </c>
      <c r="I5" s="5" t="s">
        <v>471</v>
      </c>
      <c r="K5" s="9" t="s">
        <v>494</v>
      </c>
    </row>
    <row r="6" spans="1:11" ht="25.5" customHeight="1">
      <c r="A6" s="6">
        <v>45997</v>
      </c>
      <c r="B6" s="5" t="s">
        <v>462</v>
      </c>
      <c r="C6" s="5" t="s">
        <v>499</v>
      </c>
      <c r="D6" s="5" t="s">
        <v>474</v>
      </c>
      <c r="G6" s="5" t="s">
        <v>466</v>
      </c>
      <c r="H6" s="5" t="s">
        <v>509</v>
      </c>
      <c r="I6" s="5" t="s">
        <v>471</v>
      </c>
      <c r="K6" s="7" t="s">
        <v>498</v>
      </c>
    </row>
    <row r="7" spans="1:11" ht="25.5" customHeight="1">
      <c r="A7" s="6">
        <v>45999</v>
      </c>
      <c r="B7" s="5" t="s">
        <v>462</v>
      </c>
      <c r="C7" s="5" t="s">
        <v>499</v>
      </c>
      <c r="D7" s="5" t="s">
        <v>475</v>
      </c>
      <c r="G7" s="5" t="s">
        <v>466</v>
      </c>
      <c r="H7" s="5" t="s">
        <v>510</v>
      </c>
      <c r="I7" s="5" t="s">
        <v>471</v>
      </c>
      <c r="K7" s="7" t="s">
        <v>648</v>
      </c>
    </row>
    <row r="8" spans="1:11" ht="25.5" customHeight="1">
      <c r="A8" s="6">
        <v>45999</v>
      </c>
      <c r="B8" s="5" t="s">
        <v>462</v>
      </c>
      <c r="C8" s="5" t="s">
        <v>499</v>
      </c>
      <c r="D8" s="5" t="s">
        <v>476</v>
      </c>
      <c r="G8" s="5" t="s">
        <v>466</v>
      </c>
      <c r="H8" s="5" t="s">
        <v>504</v>
      </c>
      <c r="I8" s="5" t="s">
        <v>477</v>
      </c>
      <c r="K8" s="7" t="s">
        <v>511</v>
      </c>
    </row>
    <row r="9" spans="1:11" ht="25.5" customHeight="1">
      <c r="A9" s="6">
        <v>45999</v>
      </c>
      <c r="B9" s="5" t="s">
        <v>462</v>
      </c>
      <c r="C9" s="5" t="s">
        <v>497</v>
      </c>
      <c r="D9" s="5" t="s">
        <v>479</v>
      </c>
      <c r="G9" s="5" t="s">
        <v>478</v>
      </c>
      <c r="H9" s="5" t="s">
        <v>506</v>
      </c>
      <c r="I9" s="5" t="s">
        <v>480</v>
      </c>
      <c r="K9" s="7" t="s">
        <v>481</v>
      </c>
    </row>
    <row r="10" spans="1:11" ht="25.5" customHeight="1">
      <c r="A10" s="6">
        <v>45999</v>
      </c>
      <c r="B10" s="5" t="s">
        <v>462</v>
      </c>
      <c r="C10" s="5" t="s">
        <v>497</v>
      </c>
      <c r="D10" s="5" t="s">
        <v>482</v>
      </c>
      <c r="G10" s="5" t="s">
        <v>466</v>
      </c>
      <c r="H10" s="5" t="s">
        <v>503</v>
      </c>
      <c r="I10" s="5" t="s">
        <v>471</v>
      </c>
      <c r="K10" s="9" t="s">
        <v>494</v>
      </c>
    </row>
    <row r="11" spans="1:11" s="79" customFormat="1" ht="25.5" customHeight="1">
      <c r="A11" s="57">
        <v>45999</v>
      </c>
      <c r="B11" s="41" t="s">
        <v>462</v>
      </c>
      <c r="C11" s="41" t="s">
        <v>496</v>
      </c>
      <c r="D11" s="41" t="s">
        <v>483</v>
      </c>
      <c r="E11" s="41"/>
      <c r="F11" s="41" t="s">
        <v>707</v>
      </c>
      <c r="G11" s="41" t="s">
        <v>441</v>
      </c>
      <c r="H11" s="41">
        <v>18881151583</v>
      </c>
      <c r="I11" s="41" t="s">
        <v>484</v>
      </c>
      <c r="J11" s="42" t="s">
        <v>579</v>
      </c>
      <c r="K11" s="42" t="s">
        <v>2162</v>
      </c>
    </row>
    <row r="12" spans="1:11" ht="25.5" customHeight="1">
      <c r="A12" s="6">
        <v>45999</v>
      </c>
      <c r="B12" s="5" t="s">
        <v>462</v>
      </c>
      <c r="C12" s="5" t="s">
        <v>496</v>
      </c>
      <c r="D12" s="5" t="s">
        <v>488</v>
      </c>
      <c r="G12" s="5" t="s">
        <v>441</v>
      </c>
      <c r="H12" s="5" t="s">
        <v>505</v>
      </c>
      <c r="I12" s="5" t="s">
        <v>489</v>
      </c>
      <c r="K12" s="7" t="s">
        <v>490</v>
      </c>
    </row>
    <row r="13" spans="1:11" ht="25.5" customHeight="1">
      <c r="A13" s="6">
        <v>45999</v>
      </c>
      <c r="B13" s="5" t="s">
        <v>462</v>
      </c>
      <c r="C13" s="5" t="s">
        <v>497</v>
      </c>
      <c r="D13" s="5" t="s">
        <v>485</v>
      </c>
      <c r="G13" s="5" t="s">
        <v>486</v>
      </c>
      <c r="H13" s="5" t="s">
        <v>501</v>
      </c>
      <c r="I13" s="5" t="s">
        <v>495</v>
      </c>
      <c r="K13" s="7" t="s">
        <v>487</v>
      </c>
    </row>
    <row r="14" spans="1:11" ht="25.5" customHeight="1">
      <c r="A14" s="6">
        <v>45999</v>
      </c>
      <c r="B14" s="5" t="s">
        <v>462</v>
      </c>
      <c r="C14" s="5" t="s">
        <v>496</v>
      </c>
      <c r="D14" s="5" t="s">
        <v>491</v>
      </c>
      <c r="G14" s="5" t="s">
        <v>492</v>
      </c>
      <c r="H14" s="5" t="s">
        <v>502</v>
      </c>
      <c r="I14" s="5" t="s">
        <v>493</v>
      </c>
      <c r="K14" s="7" t="s">
        <v>494</v>
      </c>
    </row>
    <row r="15" spans="1:11" ht="25.5" customHeight="1">
      <c r="A15" s="6">
        <v>46000</v>
      </c>
      <c r="B15" s="5" t="s">
        <v>462</v>
      </c>
      <c r="C15" s="5" t="s">
        <v>527</v>
      </c>
      <c r="D15" s="5" t="s">
        <v>528</v>
      </c>
      <c r="G15" s="5" t="s">
        <v>529</v>
      </c>
      <c r="H15" s="5" t="s">
        <v>530</v>
      </c>
      <c r="I15" s="5" t="s">
        <v>531</v>
      </c>
      <c r="K15" s="7" t="s">
        <v>532</v>
      </c>
    </row>
    <row r="16" spans="1:11" ht="25.5" customHeight="1">
      <c r="A16" s="6">
        <v>46000</v>
      </c>
      <c r="B16" s="5" t="s">
        <v>462</v>
      </c>
      <c r="C16" s="25" t="s">
        <v>527</v>
      </c>
      <c r="D16" s="5" t="s">
        <v>533</v>
      </c>
      <c r="G16" s="5" t="s">
        <v>534</v>
      </c>
      <c r="H16" s="5" t="s">
        <v>535</v>
      </c>
      <c r="I16" s="5" t="s">
        <v>536</v>
      </c>
      <c r="K16" s="7" t="s">
        <v>543</v>
      </c>
    </row>
    <row r="17" spans="1:11" ht="25.5" customHeight="1">
      <c r="A17" s="6">
        <v>46000</v>
      </c>
      <c r="B17" s="5" t="s">
        <v>462</v>
      </c>
      <c r="C17" s="25" t="s">
        <v>527</v>
      </c>
      <c r="D17" s="5" t="s">
        <v>537</v>
      </c>
      <c r="G17" s="5" t="s">
        <v>441</v>
      </c>
      <c r="H17" s="5" t="s">
        <v>538</v>
      </c>
      <c r="I17" s="5" t="s">
        <v>536</v>
      </c>
      <c r="K17" s="7" t="s">
        <v>699</v>
      </c>
    </row>
    <row r="18" spans="1:11" ht="25.5" customHeight="1">
      <c r="A18" s="6">
        <v>46000</v>
      </c>
      <c r="B18" s="5" t="s">
        <v>462</v>
      </c>
      <c r="C18" s="25" t="s">
        <v>527</v>
      </c>
      <c r="D18" s="5" t="s">
        <v>540</v>
      </c>
      <c r="G18" s="5" t="s">
        <v>539</v>
      </c>
      <c r="H18" s="5" t="s">
        <v>541</v>
      </c>
      <c r="I18" s="5" t="s">
        <v>542</v>
      </c>
      <c r="K18" s="7" t="s">
        <v>543</v>
      </c>
    </row>
    <row r="19" spans="1:11" ht="25.5" customHeight="1">
      <c r="A19" s="6">
        <v>46000</v>
      </c>
      <c r="B19" s="5" t="s">
        <v>546</v>
      </c>
      <c r="C19" s="25" t="s">
        <v>527</v>
      </c>
      <c r="D19" s="5" t="s">
        <v>544</v>
      </c>
      <c r="G19" s="5" t="s">
        <v>539</v>
      </c>
      <c r="H19" s="5" t="s">
        <v>545</v>
      </c>
      <c r="I19" s="5" t="s">
        <v>542</v>
      </c>
      <c r="K19" s="9" t="s">
        <v>589</v>
      </c>
    </row>
    <row r="20" spans="1:11" ht="25.5" customHeight="1">
      <c r="A20" s="55">
        <v>46000</v>
      </c>
      <c r="B20" s="26" t="s">
        <v>548</v>
      </c>
      <c r="C20" s="26" t="s">
        <v>527</v>
      </c>
      <c r="D20" s="26" t="s">
        <v>549</v>
      </c>
      <c r="E20" s="28"/>
      <c r="F20" s="27" t="s">
        <v>549</v>
      </c>
      <c r="G20" s="28" t="s">
        <v>539</v>
      </c>
      <c r="H20" s="28">
        <v>13980142742</v>
      </c>
      <c r="I20" s="28" t="s">
        <v>547</v>
      </c>
      <c r="J20" s="29" t="s">
        <v>1030</v>
      </c>
      <c r="K20" s="29" t="s">
        <v>1031</v>
      </c>
    </row>
    <row r="21" spans="1:11" ht="25.5" customHeight="1">
      <c r="A21" s="6">
        <v>46000</v>
      </c>
      <c r="B21" s="5" t="s">
        <v>550</v>
      </c>
      <c r="C21" s="5" t="s">
        <v>558</v>
      </c>
      <c r="D21" s="5" t="s">
        <v>563</v>
      </c>
      <c r="G21" s="5" t="s">
        <v>564</v>
      </c>
      <c r="H21" s="5" t="s">
        <v>565</v>
      </c>
      <c r="I21" s="5" t="s">
        <v>566</v>
      </c>
      <c r="K21" s="7" t="s">
        <v>588</v>
      </c>
    </row>
    <row r="22" spans="1:11" ht="25.5" customHeight="1">
      <c r="A22" s="6">
        <v>46000</v>
      </c>
      <c r="B22" s="5" t="s">
        <v>550</v>
      </c>
      <c r="C22" s="5" t="s">
        <v>558</v>
      </c>
      <c r="D22" s="5" t="s">
        <v>568</v>
      </c>
      <c r="G22" s="5" t="s">
        <v>560</v>
      </c>
      <c r="H22" s="5" t="s">
        <v>569</v>
      </c>
      <c r="K22" s="7" t="s">
        <v>570</v>
      </c>
    </row>
    <row r="23" spans="1:11" ht="25.5" customHeight="1">
      <c r="A23" s="6">
        <v>46000</v>
      </c>
      <c r="B23" s="5" t="s">
        <v>550</v>
      </c>
      <c r="C23" s="5" t="s">
        <v>558</v>
      </c>
      <c r="D23" s="5" t="s">
        <v>571</v>
      </c>
      <c r="G23" s="5" t="s">
        <v>572</v>
      </c>
      <c r="H23" s="5" t="s">
        <v>574</v>
      </c>
      <c r="I23" s="5" t="s">
        <v>573</v>
      </c>
      <c r="K23" s="7" t="s">
        <v>588</v>
      </c>
    </row>
    <row r="24" spans="1:11" ht="25.5" customHeight="1">
      <c r="A24" s="6">
        <v>46000</v>
      </c>
      <c r="B24" s="5" t="s">
        <v>550</v>
      </c>
      <c r="C24" s="5" t="s">
        <v>558</v>
      </c>
      <c r="D24" s="5" t="s">
        <v>575</v>
      </c>
      <c r="G24" s="5" t="s">
        <v>576</v>
      </c>
      <c r="H24" s="5" t="s">
        <v>577</v>
      </c>
      <c r="I24" s="5" t="s">
        <v>578</v>
      </c>
      <c r="K24" s="7" t="s">
        <v>567</v>
      </c>
    </row>
    <row r="25" spans="1:11" ht="25.5" customHeight="1">
      <c r="A25" s="6">
        <v>46001</v>
      </c>
      <c r="B25" s="5" t="s">
        <v>582</v>
      </c>
      <c r="C25" s="5" t="s">
        <v>583</v>
      </c>
      <c r="D25" s="5" t="s">
        <v>584</v>
      </c>
      <c r="G25" s="5" t="s">
        <v>585</v>
      </c>
      <c r="H25" s="5" t="s">
        <v>586</v>
      </c>
      <c r="I25" s="5" t="s">
        <v>587</v>
      </c>
      <c r="K25" s="7" t="s">
        <v>588</v>
      </c>
    </row>
    <row r="26" spans="1:11" ht="25.5" customHeight="1">
      <c r="A26" s="6">
        <v>46001</v>
      </c>
      <c r="B26" s="5" t="s">
        <v>590</v>
      </c>
      <c r="C26" s="5" t="s">
        <v>591</v>
      </c>
      <c r="D26" s="5" t="s">
        <v>592</v>
      </c>
      <c r="G26" s="5" t="s">
        <v>593</v>
      </c>
      <c r="H26" s="5">
        <v>18888790472</v>
      </c>
      <c r="I26" s="5" t="s">
        <v>594</v>
      </c>
      <c r="J26" s="7" t="s">
        <v>595</v>
      </c>
      <c r="K26" s="7" t="s">
        <v>712</v>
      </c>
    </row>
    <row r="27" spans="1:11" ht="25.5" customHeight="1">
      <c r="A27" s="6">
        <v>46001</v>
      </c>
      <c r="B27" s="5" t="s">
        <v>590</v>
      </c>
      <c r="C27" s="5" t="s">
        <v>591</v>
      </c>
      <c r="D27" s="5" t="s">
        <v>596</v>
      </c>
      <c r="G27" s="5" t="s">
        <v>597</v>
      </c>
      <c r="H27" s="5">
        <v>19915301195</v>
      </c>
      <c r="I27" s="5" t="s">
        <v>598</v>
      </c>
      <c r="J27" s="7" t="s">
        <v>599</v>
      </c>
      <c r="K27" s="7" t="s">
        <v>635</v>
      </c>
    </row>
    <row r="28" spans="1:11" ht="25.5" customHeight="1">
      <c r="A28" s="6">
        <v>46002</v>
      </c>
      <c r="B28" s="5" t="s">
        <v>600</v>
      </c>
      <c r="C28" s="5" t="s">
        <v>607</v>
      </c>
      <c r="D28" s="5" t="s">
        <v>608</v>
      </c>
      <c r="G28" s="5" t="s">
        <v>609</v>
      </c>
      <c r="H28" s="5" t="s">
        <v>610</v>
      </c>
      <c r="I28" s="5" t="s">
        <v>611</v>
      </c>
      <c r="K28" s="7" t="s">
        <v>634</v>
      </c>
    </row>
    <row r="29" spans="1:11" ht="25.5" customHeight="1">
      <c r="A29" s="6">
        <v>46002</v>
      </c>
      <c r="B29" s="5" t="s">
        <v>600</v>
      </c>
      <c r="C29" s="5" t="s">
        <v>607</v>
      </c>
      <c r="D29" s="5" t="s">
        <v>613</v>
      </c>
      <c r="G29" s="5" t="s">
        <v>603</v>
      </c>
      <c r="H29" s="5" t="s">
        <v>614</v>
      </c>
      <c r="I29" s="5" t="s">
        <v>611</v>
      </c>
      <c r="K29" s="7" t="s">
        <v>615</v>
      </c>
    </row>
    <row r="30" spans="1:11" ht="25.5" customHeight="1">
      <c r="A30" s="6">
        <v>46002</v>
      </c>
      <c r="B30" s="5" t="s">
        <v>600</v>
      </c>
      <c r="C30" s="5" t="s">
        <v>607</v>
      </c>
      <c r="D30" s="5" t="s">
        <v>616</v>
      </c>
      <c r="G30" s="5" t="s">
        <v>603</v>
      </c>
      <c r="H30" s="5" t="s">
        <v>617</v>
      </c>
      <c r="I30" s="5" t="s">
        <v>611</v>
      </c>
      <c r="K30" s="7" t="s">
        <v>612</v>
      </c>
    </row>
    <row r="31" spans="1:11" ht="25.5" customHeight="1">
      <c r="A31" s="6">
        <v>46002</v>
      </c>
      <c r="B31" s="5" t="s">
        <v>600</v>
      </c>
      <c r="C31" s="25" t="s">
        <v>774</v>
      </c>
      <c r="F31" s="5" t="s">
        <v>618</v>
      </c>
      <c r="G31" s="5" t="s">
        <v>609</v>
      </c>
      <c r="H31" s="5">
        <v>18283335758</v>
      </c>
      <c r="K31" s="7" t="s">
        <v>717</v>
      </c>
    </row>
    <row r="32" spans="1:11" ht="25.5" customHeight="1">
      <c r="A32" s="56">
        <v>46002</v>
      </c>
      <c r="B32" s="37" t="s">
        <v>629</v>
      </c>
      <c r="C32" s="37" t="s">
        <v>583</v>
      </c>
      <c r="D32" s="37" t="s">
        <v>630</v>
      </c>
      <c r="E32" s="37"/>
      <c r="F32" s="37"/>
      <c r="G32" s="37" t="s">
        <v>631</v>
      </c>
      <c r="H32" s="37">
        <v>13198673777</v>
      </c>
      <c r="I32" s="37" t="s">
        <v>632</v>
      </c>
      <c r="J32" s="38" t="s">
        <v>633</v>
      </c>
      <c r="K32" s="40" t="s">
        <v>771</v>
      </c>
    </row>
    <row r="33" spans="1:12" ht="25.5" customHeight="1">
      <c r="A33" s="6">
        <v>46002</v>
      </c>
      <c r="B33" s="5" t="s">
        <v>636</v>
      </c>
      <c r="C33" s="5" t="s">
        <v>583</v>
      </c>
      <c r="D33" s="5" t="s">
        <v>637</v>
      </c>
      <c r="G33" s="5" t="s">
        <v>638</v>
      </c>
      <c r="H33" s="5" t="s">
        <v>639</v>
      </c>
      <c r="I33" s="5" t="s">
        <v>640</v>
      </c>
      <c r="K33" s="7" t="s">
        <v>641</v>
      </c>
    </row>
    <row r="34" spans="1:12" ht="25.5" customHeight="1">
      <c r="A34" s="56">
        <v>46003</v>
      </c>
      <c r="B34" s="37" t="s">
        <v>649</v>
      </c>
      <c r="C34" s="37" t="s">
        <v>650</v>
      </c>
      <c r="D34" s="37"/>
      <c r="E34" s="37"/>
      <c r="F34" s="37" t="s">
        <v>651</v>
      </c>
      <c r="G34" s="37" t="s">
        <v>652</v>
      </c>
      <c r="H34" s="37">
        <v>13320903932</v>
      </c>
      <c r="I34" s="37" t="s">
        <v>706</v>
      </c>
      <c r="J34" s="38" t="s">
        <v>2157</v>
      </c>
      <c r="K34" s="38" t="s">
        <v>815</v>
      </c>
    </row>
    <row r="35" spans="1:12" ht="25.5" customHeight="1">
      <c r="A35" s="56">
        <v>46003</v>
      </c>
      <c r="B35" s="37" t="s">
        <v>649</v>
      </c>
      <c r="C35" s="37" t="s">
        <v>583</v>
      </c>
      <c r="D35" s="37" t="s">
        <v>653</v>
      </c>
      <c r="E35" s="37"/>
      <c r="F35" s="37" t="s">
        <v>654</v>
      </c>
      <c r="G35" s="65" t="s">
        <v>125</v>
      </c>
      <c r="H35" s="37">
        <v>15983665426</v>
      </c>
      <c r="I35" s="37" t="s">
        <v>666</v>
      </c>
      <c r="J35" s="40" t="s">
        <v>655</v>
      </c>
      <c r="K35" s="38" t="s">
        <v>886</v>
      </c>
      <c r="L35" s="35" t="s">
        <v>775</v>
      </c>
    </row>
    <row r="36" spans="1:12" ht="25.5" customHeight="1">
      <c r="A36" s="57">
        <v>46004</v>
      </c>
      <c r="B36" s="41" t="s">
        <v>656</v>
      </c>
      <c r="C36" s="41" t="s">
        <v>583</v>
      </c>
      <c r="D36" s="41" t="s">
        <v>657</v>
      </c>
      <c r="E36" s="41"/>
      <c r="F36" s="41"/>
      <c r="G36" s="41" t="s">
        <v>658</v>
      </c>
      <c r="H36" s="41">
        <v>13422842675</v>
      </c>
      <c r="I36" s="41" t="s">
        <v>659</v>
      </c>
      <c r="J36" s="42" t="s">
        <v>660</v>
      </c>
      <c r="K36" s="42" t="s">
        <v>932</v>
      </c>
    </row>
    <row r="37" spans="1:12" ht="25.5" customHeight="1">
      <c r="A37" s="55">
        <v>46004</v>
      </c>
      <c r="B37" s="28" t="s">
        <v>661</v>
      </c>
      <c r="C37" s="28" t="s">
        <v>583</v>
      </c>
      <c r="D37" s="28"/>
      <c r="E37" s="28"/>
      <c r="F37" s="28" t="s">
        <v>664</v>
      </c>
      <c r="G37" s="28" t="s">
        <v>662</v>
      </c>
      <c r="H37" s="28">
        <v>13993989039</v>
      </c>
      <c r="I37" s="28" t="s">
        <v>663</v>
      </c>
      <c r="J37" s="51" t="s">
        <v>665</v>
      </c>
      <c r="K37" s="51" t="s">
        <v>933</v>
      </c>
      <c r="L37" s="35"/>
    </row>
    <row r="38" spans="1:12" ht="25.5" customHeight="1">
      <c r="A38" s="6">
        <v>46004</v>
      </c>
      <c r="B38" s="5" t="s">
        <v>661</v>
      </c>
      <c r="C38" s="5" t="s">
        <v>583</v>
      </c>
      <c r="D38" s="5" t="s">
        <v>667</v>
      </c>
      <c r="G38" s="5" t="s">
        <v>668</v>
      </c>
      <c r="H38" s="5" t="s">
        <v>669</v>
      </c>
      <c r="I38" s="5" t="s">
        <v>670</v>
      </c>
      <c r="K38" s="7" t="s">
        <v>671</v>
      </c>
    </row>
    <row r="39" spans="1:12" ht="25.5" customHeight="1">
      <c r="A39" s="6">
        <v>46004</v>
      </c>
      <c r="B39" s="5" t="s">
        <v>672</v>
      </c>
      <c r="C39" s="5" t="s">
        <v>583</v>
      </c>
      <c r="D39" s="5" t="s">
        <v>673</v>
      </c>
      <c r="F39" s="5" t="s">
        <v>674</v>
      </c>
      <c r="G39" s="5" t="s">
        <v>675</v>
      </c>
      <c r="H39" s="5">
        <v>15388465765</v>
      </c>
      <c r="I39" s="5" t="s">
        <v>676</v>
      </c>
      <c r="J39" s="7" t="s">
        <v>677</v>
      </c>
      <c r="K39" s="7" t="s">
        <v>934</v>
      </c>
    </row>
    <row r="40" spans="1:12" ht="25.5" customHeight="1">
      <c r="A40" s="6">
        <v>46004</v>
      </c>
      <c r="B40" s="5" t="s">
        <v>672</v>
      </c>
      <c r="C40" s="5" t="s">
        <v>583</v>
      </c>
      <c r="D40" s="5" t="s">
        <v>678</v>
      </c>
      <c r="G40" s="5" t="s">
        <v>679</v>
      </c>
      <c r="H40" s="5" t="s">
        <v>680</v>
      </c>
      <c r="I40" s="5" t="s">
        <v>681</v>
      </c>
      <c r="K40" s="7" t="s">
        <v>682</v>
      </c>
    </row>
    <row r="41" spans="1:12" ht="25.5" customHeight="1">
      <c r="A41" s="6">
        <v>46006</v>
      </c>
      <c r="B41" s="5" t="s">
        <v>683</v>
      </c>
      <c r="C41" s="5" t="s">
        <v>684</v>
      </c>
      <c r="D41" s="5" t="s">
        <v>685</v>
      </c>
      <c r="G41" s="5" t="s">
        <v>686</v>
      </c>
      <c r="H41" s="5" t="s">
        <v>687</v>
      </c>
      <c r="I41" s="5" t="s">
        <v>688</v>
      </c>
      <c r="K41" s="7" t="s">
        <v>689</v>
      </c>
    </row>
    <row r="42" spans="1:12" ht="25.5" customHeight="1">
      <c r="A42" s="6">
        <v>46006</v>
      </c>
      <c r="B42" s="5" t="s">
        <v>683</v>
      </c>
      <c r="C42" s="5" t="s">
        <v>690</v>
      </c>
      <c r="D42" s="5" t="s">
        <v>691</v>
      </c>
      <c r="G42" s="5" t="s">
        <v>692</v>
      </c>
      <c r="H42" s="5" t="s">
        <v>693</v>
      </c>
      <c r="K42" s="7" t="s">
        <v>694</v>
      </c>
    </row>
    <row r="43" spans="1:12" ht="25.5" customHeight="1">
      <c r="A43" s="6">
        <v>46006</v>
      </c>
      <c r="B43" s="5" t="s">
        <v>683</v>
      </c>
      <c r="C43" s="5" t="s">
        <v>583</v>
      </c>
      <c r="D43" s="5" t="s">
        <v>695</v>
      </c>
      <c r="G43" s="5" t="s">
        <v>696</v>
      </c>
      <c r="H43" s="5" t="s">
        <v>697</v>
      </c>
      <c r="I43" s="5" t="s">
        <v>698</v>
      </c>
      <c r="K43" s="9" t="s">
        <v>720</v>
      </c>
    </row>
    <row r="44" spans="1:12" ht="25.5" customHeight="1">
      <c r="A44" s="57">
        <v>46006</v>
      </c>
      <c r="B44" s="41" t="s">
        <v>683</v>
      </c>
      <c r="C44" s="41" t="s">
        <v>583</v>
      </c>
      <c r="D44" s="41" t="s">
        <v>700</v>
      </c>
      <c r="E44" s="41"/>
      <c r="F44" s="41"/>
      <c r="G44" s="41" t="s">
        <v>701</v>
      </c>
      <c r="H44" s="41" t="s">
        <v>702</v>
      </c>
      <c r="I44" s="41" t="s">
        <v>703</v>
      </c>
      <c r="J44" s="42" t="s">
        <v>704</v>
      </c>
      <c r="K44" s="43" t="s">
        <v>721</v>
      </c>
    </row>
    <row r="45" spans="1:12" ht="25.5" customHeight="1">
      <c r="A45" s="57">
        <v>46006</v>
      </c>
      <c r="B45" s="46" t="s">
        <v>683</v>
      </c>
      <c r="C45" s="46" t="s">
        <v>710</v>
      </c>
      <c r="D45" s="41" t="s">
        <v>718</v>
      </c>
      <c r="E45" s="41"/>
      <c r="F45" s="41"/>
      <c r="G45" s="46" t="s">
        <v>711</v>
      </c>
      <c r="H45" s="41">
        <v>13398492958</v>
      </c>
      <c r="I45" s="41" t="s">
        <v>242</v>
      </c>
      <c r="J45" s="42" t="s">
        <v>745</v>
      </c>
      <c r="K45" s="43" t="s">
        <v>801</v>
      </c>
    </row>
    <row r="46" spans="1:12" ht="25.5" customHeight="1">
      <c r="A46" s="6">
        <v>46006</v>
      </c>
      <c r="B46" s="5" t="s">
        <v>713</v>
      </c>
      <c r="C46" s="5" t="s">
        <v>714</v>
      </c>
      <c r="G46" s="5" t="s">
        <v>716</v>
      </c>
      <c r="H46" s="5" t="s">
        <v>715</v>
      </c>
      <c r="K46" s="7" t="s">
        <v>719</v>
      </c>
    </row>
    <row r="47" spans="1:12" ht="25.5" customHeight="1">
      <c r="A47" s="57">
        <v>46006</v>
      </c>
      <c r="B47" s="41" t="s">
        <v>725</v>
      </c>
      <c r="C47" s="41" t="s">
        <v>497</v>
      </c>
      <c r="D47" s="41" t="s">
        <v>726</v>
      </c>
      <c r="E47" s="41"/>
      <c r="F47" s="41"/>
      <c r="G47" s="41" t="s">
        <v>59</v>
      </c>
      <c r="H47" s="41">
        <v>18781103783</v>
      </c>
      <c r="I47" s="41" t="s">
        <v>727</v>
      </c>
      <c r="J47" s="42" t="s">
        <v>799</v>
      </c>
      <c r="K47" s="42" t="s">
        <v>800</v>
      </c>
    </row>
    <row r="48" spans="1:12" ht="25.5" customHeight="1">
      <c r="A48" s="6">
        <v>46007</v>
      </c>
      <c r="B48" s="5" t="s">
        <v>728</v>
      </c>
      <c r="C48" s="5" t="s">
        <v>583</v>
      </c>
      <c r="D48" s="5" t="s">
        <v>731</v>
      </c>
      <c r="G48" s="5" t="s">
        <v>732</v>
      </c>
      <c r="H48" s="5">
        <v>13281543071</v>
      </c>
      <c r="I48" s="5" t="s">
        <v>733</v>
      </c>
      <c r="J48" s="7" t="s">
        <v>734</v>
      </c>
      <c r="K48" s="7" t="s">
        <v>735</v>
      </c>
    </row>
    <row r="49" spans="1:11" ht="25.5" customHeight="1">
      <c r="A49" s="6">
        <v>46007</v>
      </c>
      <c r="B49" s="5" t="s">
        <v>728</v>
      </c>
      <c r="C49" s="5" t="s">
        <v>583</v>
      </c>
      <c r="D49" s="5" t="s">
        <v>729</v>
      </c>
      <c r="G49" s="5" t="s">
        <v>730</v>
      </c>
      <c r="H49" s="5" t="s">
        <v>736</v>
      </c>
      <c r="I49" s="5" t="s">
        <v>737</v>
      </c>
      <c r="K49" s="7" t="s">
        <v>740</v>
      </c>
    </row>
    <row r="50" spans="1:11" ht="25.5" customHeight="1">
      <c r="A50" s="6">
        <v>46007</v>
      </c>
      <c r="B50" s="5" t="s">
        <v>728</v>
      </c>
      <c r="C50" s="5" t="s">
        <v>583</v>
      </c>
      <c r="D50" s="5" t="s">
        <v>738</v>
      </c>
      <c r="G50" s="5" t="s">
        <v>730</v>
      </c>
      <c r="H50" s="5" t="s">
        <v>739</v>
      </c>
      <c r="I50" s="5" t="s">
        <v>737</v>
      </c>
      <c r="K50" s="7" t="s">
        <v>766</v>
      </c>
    </row>
    <row r="51" spans="1:11" ht="25.5" customHeight="1">
      <c r="A51" s="6">
        <v>46007</v>
      </c>
      <c r="B51" s="5" t="s">
        <v>728</v>
      </c>
      <c r="C51" s="5" t="s">
        <v>583</v>
      </c>
      <c r="D51" s="5" t="s">
        <v>741</v>
      </c>
      <c r="G51" s="5" t="s">
        <v>732</v>
      </c>
      <c r="H51" s="5" t="s">
        <v>742</v>
      </c>
      <c r="I51" s="5" t="s">
        <v>743</v>
      </c>
      <c r="J51" s="7" t="s">
        <v>744</v>
      </c>
      <c r="K51" s="7" t="s">
        <v>934</v>
      </c>
    </row>
    <row r="52" spans="1:11" ht="25.5" customHeight="1">
      <c r="A52" s="6">
        <v>46007</v>
      </c>
      <c r="B52" s="5" t="s">
        <v>728</v>
      </c>
      <c r="C52" s="5" t="s">
        <v>583</v>
      </c>
      <c r="D52" s="5" t="s">
        <v>746</v>
      </c>
      <c r="G52" s="5" t="s">
        <v>732</v>
      </c>
      <c r="H52" s="5" t="s">
        <v>747</v>
      </c>
      <c r="I52" s="5" t="s">
        <v>737</v>
      </c>
      <c r="K52" s="7" t="s">
        <v>748</v>
      </c>
    </row>
    <row r="53" spans="1:11" ht="25.5" customHeight="1">
      <c r="A53" s="56">
        <v>46007</v>
      </c>
      <c r="B53" s="37" t="s">
        <v>749</v>
      </c>
      <c r="C53" s="37" t="s">
        <v>583</v>
      </c>
      <c r="D53" s="37" t="s">
        <v>750</v>
      </c>
      <c r="E53" s="37"/>
      <c r="F53" s="37"/>
      <c r="G53" s="37" t="s">
        <v>751</v>
      </c>
      <c r="H53" s="37">
        <v>17502849499</v>
      </c>
      <c r="I53" s="37" t="s">
        <v>752</v>
      </c>
      <c r="J53" s="38" t="s">
        <v>753</v>
      </c>
      <c r="K53" s="40" t="s">
        <v>772</v>
      </c>
    </row>
    <row r="54" spans="1:11" ht="25.5" customHeight="1">
      <c r="A54" s="6">
        <v>46008</v>
      </c>
      <c r="B54" s="5" t="s">
        <v>749</v>
      </c>
      <c r="C54" s="5" t="s">
        <v>583</v>
      </c>
      <c r="D54" s="5" t="s">
        <v>757</v>
      </c>
      <c r="G54" s="5" t="s">
        <v>754</v>
      </c>
      <c r="H54" s="5" t="s">
        <v>755</v>
      </c>
      <c r="I54" s="5" t="s">
        <v>756</v>
      </c>
      <c r="K54" s="7" t="s">
        <v>776</v>
      </c>
    </row>
    <row r="55" spans="1:11" ht="25.5" customHeight="1">
      <c r="A55" s="6">
        <v>46008</v>
      </c>
      <c r="B55" s="5" t="s">
        <v>749</v>
      </c>
      <c r="C55" s="5" t="s">
        <v>758</v>
      </c>
      <c r="D55" s="5" t="s">
        <v>759</v>
      </c>
      <c r="G55" s="5" t="s">
        <v>760</v>
      </c>
      <c r="H55" s="5" t="s">
        <v>761</v>
      </c>
      <c r="I55" s="5" t="s">
        <v>752</v>
      </c>
      <c r="K55" s="7" t="s">
        <v>765</v>
      </c>
    </row>
    <row r="56" spans="1:11" ht="25.5" customHeight="1">
      <c r="A56" s="6">
        <v>46008</v>
      </c>
      <c r="B56" s="5" t="s">
        <v>749</v>
      </c>
      <c r="C56" s="5" t="s">
        <v>583</v>
      </c>
      <c r="D56" s="5" t="s">
        <v>762</v>
      </c>
      <c r="G56" s="5" t="s">
        <v>754</v>
      </c>
      <c r="H56" s="5" t="s">
        <v>763</v>
      </c>
      <c r="I56" s="5" t="s">
        <v>764</v>
      </c>
      <c r="K56" s="7" t="s">
        <v>765</v>
      </c>
    </row>
    <row r="57" spans="1:11" ht="25.5" customHeight="1">
      <c r="A57" s="6">
        <v>46008</v>
      </c>
      <c r="B57" s="5" t="s">
        <v>749</v>
      </c>
      <c r="C57" s="5" t="s">
        <v>583</v>
      </c>
      <c r="D57" s="5" t="s">
        <v>767</v>
      </c>
      <c r="G57" s="5" t="s">
        <v>760</v>
      </c>
      <c r="H57" s="5" t="s">
        <v>768</v>
      </c>
      <c r="I57" s="5" t="s">
        <v>752</v>
      </c>
      <c r="J57" s="7" t="s">
        <v>769</v>
      </c>
      <c r="K57" s="7" t="s">
        <v>770</v>
      </c>
    </row>
    <row r="58" spans="1:11" ht="25.5" customHeight="1">
      <c r="A58" s="6">
        <v>46008</v>
      </c>
      <c r="B58" s="5" t="s">
        <v>777</v>
      </c>
      <c r="C58" s="5" t="s">
        <v>778</v>
      </c>
      <c r="F58" s="5" t="s">
        <v>780</v>
      </c>
      <c r="G58" s="5" t="s">
        <v>723</v>
      </c>
      <c r="H58" s="5">
        <v>13778131658</v>
      </c>
      <c r="I58" s="5" t="s">
        <v>779</v>
      </c>
      <c r="J58" s="7" t="s">
        <v>783</v>
      </c>
      <c r="K58" s="7" t="s">
        <v>784</v>
      </c>
    </row>
    <row r="59" spans="1:11" ht="25.5" customHeight="1">
      <c r="A59" s="6">
        <v>46009</v>
      </c>
      <c r="B59" s="5" t="s">
        <v>781</v>
      </c>
      <c r="C59" s="5" t="s">
        <v>782</v>
      </c>
      <c r="D59" s="5" t="s">
        <v>785</v>
      </c>
      <c r="G59" s="5" t="s">
        <v>786</v>
      </c>
      <c r="H59" s="5" t="s">
        <v>787</v>
      </c>
      <c r="I59" s="5" t="s">
        <v>788</v>
      </c>
      <c r="K59" s="7" t="s">
        <v>797</v>
      </c>
    </row>
    <row r="60" spans="1:11" ht="25.5" customHeight="1">
      <c r="A60" s="6">
        <v>46009</v>
      </c>
      <c r="B60" s="5" t="s">
        <v>781</v>
      </c>
      <c r="C60" s="5" t="s">
        <v>792</v>
      </c>
      <c r="D60" s="5" t="s">
        <v>789</v>
      </c>
      <c r="G60" s="5" t="s">
        <v>790</v>
      </c>
      <c r="H60" s="5">
        <v>13881181850</v>
      </c>
      <c r="I60" s="5" t="s">
        <v>791</v>
      </c>
      <c r="J60" s="7" t="s">
        <v>798</v>
      </c>
      <c r="K60" s="9" t="s">
        <v>834</v>
      </c>
    </row>
    <row r="61" spans="1:11" ht="25.5" customHeight="1">
      <c r="A61" s="6">
        <v>46009</v>
      </c>
      <c r="B61" s="5" t="s">
        <v>781</v>
      </c>
      <c r="C61" s="5" t="s">
        <v>782</v>
      </c>
      <c r="D61" s="5" t="s">
        <v>793</v>
      </c>
      <c r="G61" s="5" t="s">
        <v>794</v>
      </c>
      <c r="H61" s="5" t="s">
        <v>795</v>
      </c>
      <c r="I61" s="5" t="s">
        <v>796</v>
      </c>
      <c r="K61" s="7" t="s">
        <v>797</v>
      </c>
    </row>
    <row r="62" spans="1:11" ht="25.5" customHeight="1">
      <c r="A62" s="6">
        <v>46009</v>
      </c>
      <c r="B62" s="5" t="s">
        <v>781</v>
      </c>
      <c r="C62" s="5" t="s">
        <v>782</v>
      </c>
      <c r="D62" s="5" t="s">
        <v>802</v>
      </c>
      <c r="G62" s="5" t="s">
        <v>790</v>
      </c>
      <c r="H62" s="5" t="s">
        <v>803</v>
      </c>
    </row>
    <row r="63" spans="1:11" ht="25.5" customHeight="1">
      <c r="A63" s="6">
        <v>46009</v>
      </c>
      <c r="B63" s="5" t="s">
        <v>781</v>
      </c>
      <c r="C63" s="5" t="s">
        <v>804</v>
      </c>
      <c r="G63" s="5" t="s">
        <v>805</v>
      </c>
      <c r="H63" s="5">
        <v>13402355436</v>
      </c>
      <c r="I63" s="5" t="s">
        <v>806</v>
      </c>
      <c r="J63" s="7" t="s">
        <v>807</v>
      </c>
      <c r="K63" s="9" t="s">
        <v>835</v>
      </c>
    </row>
    <row r="64" spans="1:11" ht="25.5" customHeight="1">
      <c r="A64" s="6">
        <v>46009</v>
      </c>
      <c r="B64" s="5" t="s">
        <v>781</v>
      </c>
      <c r="C64" s="5" t="s">
        <v>527</v>
      </c>
      <c r="D64" s="5" t="s">
        <v>810</v>
      </c>
      <c r="G64" s="5" t="s">
        <v>808</v>
      </c>
      <c r="H64" s="5" t="s">
        <v>809</v>
      </c>
      <c r="J64" s="7" t="s">
        <v>811</v>
      </c>
      <c r="K64" s="9" t="s">
        <v>836</v>
      </c>
    </row>
    <row r="65" spans="1:12" ht="25.5" customHeight="1">
      <c r="A65" s="57">
        <v>46009</v>
      </c>
      <c r="B65" s="41" t="s">
        <v>781</v>
      </c>
      <c r="C65" s="41" t="s">
        <v>804</v>
      </c>
      <c r="D65" s="41" t="s">
        <v>812</v>
      </c>
      <c r="E65" s="41"/>
      <c r="F65" s="41" t="s">
        <v>923</v>
      </c>
      <c r="G65" s="41" t="s">
        <v>790</v>
      </c>
      <c r="H65" s="41">
        <v>13980529377</v>
      </c>
      <c r="I65" s="41" t="s">
        <v>813</v>
      </c>
      <c r="J65" s="42" t="s">
        <v>814</v>
      </c>
      <c r="K65" s="42" t="s">
        <v>935</v>
      </c>
    </row>
    <row r="66" spans="1:12" s="79" customFormat="1" ht="25.5" customHeight="1">
      <c r="A66" s="54">
        <v>46009</v>
      </c>
      <c r="B66" s="22" t="s">
        <v>816</v>
      </c>
      <c r="C66" s="22" t="s">
        <v>782</v>
      </c>
      <c r="D66" s="22" t="s">
        <v>821</v>
      </c>
      <c r="E66" s="22"/>
      <c r="F66" s="22" t="s">
        <v>931</v>
      </c>
      <c r="G66" s="22" t="s">
        <v>822</v>
      </c>
      <c r="H66" s="22">
        <v>15281122590</v>
      </c>
      <c r="I66" s="22" t="s">
        <v>823</v>
      </c>
      <c r="J66" s="23" t="s">
        <v>824</v>
      </c>
      <c r="K66" s="23" t="s">
        <v>843</v>
      </c>
      <c r="L66" s="79" t="s">
        <v>825</v>
      </c>
    </row>
    <row r="67" spans="1:12" ht="25.5" customHeight="1">
      <c r="A67" s="6">
        <v>46010</v>
      </c>
      <c r="B67" s="5" t="s">
        <v>816</v>
      </c>
      <c r="C67" s="5" t="s">
        <v>782</v>
      </c>
      <c r="D67" s="5" t="s">
        <v>817</v>
      </c>
      <c r="F67" s="25" t="s">
        <v>837</v>
      </c>
      <c r="G67" s="5" t="s">
        <v>818</v>
      </c>
      <c r="H67" s="5">
        <v>18080250106</v>
      </c>
      <c r="I67" s="5" t="s">
        <v>819</v>
      </c>
      <c r="J67" s="7" t="s">
        <v>820</v>
      </c>
      <c r="K67" s="7" t="s">
        <v>894</v>
      </c>
    </row>
    <row r="68" spans="1:12" ht="25.5" customHeight="1">
      <c r="A68" s="56">
        <v>46010</v>
      </c>
      <c r="B68" s="37" t="s">
        <v>816</v>
      </c>
      <c r="C68" s="37" t="s">
        <v>782</v>
      </c>
      <c r="D68" s="37" t="s">
        <v>826</v>
      </c>
      <c r="E68" s="37"/>
      <c r="F68" s="37" t="s">
        <v>895</v>
      </c>
      <c r="G68" s="37" t="s">
        <v>827</v>
      </c>
      <c r="H68" s="37">
        <v>15730314959</v>
      </c>
      <c r="I68" s="37" t="s">
        <v>828</v>
      </c>
      <c r="J68" s="40" t="s">
        <v>842</v>
      </c>
      <c r="K68" s="40" t="s">
        <v>833</v>
      </c>
    </row>
    <row r="69" spans="1:12" ht="25.5" customHeight="1">
      <c r="A69" s="6">
        <v>46010</v>
      </c>
      <c r="B69" s="5" t="s">
        <v>816</v>
      </c>
      <c r="C69" s="5" t="s">
        <v>782</v>
      </c>
      <c r="D69" s="5" t="s">
        <v>829</v>
      </c>
      <c r="G69" s="5" t="s">
        <v>818</v>
      </c>
      <c r="H69" s="5" t="s">
        <v>830</v>
      </c>
      <c r="I69" s="5" t="s">
        <v>819</v>
      </c>
      <c r="J69" s="7" t="s">
        <v>831</v>
      </c>
      <c r="K69" s="7" t="s">
        <v>832</v>
      </c>
    </row>
    <row r="70" spans="1:12" ht="25.5" customHeight="1">
      <c r="A70" s="6">
        <v>46012</v>
      </c>
      <c r="B70" s="5" t="s">
        <v>844</v>
      </c>
      <c r="C70" s="5" t="s">
        <v>690</v>
      </c>
      <c r="D70" s="5" t="s">
        <v>845</v>
      </c>
      <c r="G70" s="5" t="s">
        <v>846</v>
      </c>
      <c r="H70" s="5" t="s">
        <v>847</v>
      </c>
      <c r="I70" s="5" t="s">
        <v>848</v>
      </c>
    </row>
    <row r="71" spans="1:12" ht="25.5" customHeight="1">
      <c r="A71" s="6">
        <v>46012</v>
      </c>
      <c r="B71" s="5" t="s">
        <v>844</v>
      </c>
      <c r="C71" s="5" t="s">
        <v>849</v>
      </c>
      <c r="D71" s="5" t="s">
        <v>850</v>
      </c>
      <c r="G71" s="5" t="s">
        <v>851</v>
      </c>
      <c r="H71" s="5" t="s">
        <v>852</v>
      </c>
      <c r="I71" s="5" t="s">
        <v>853</v>
      </c>
      <c r="K71" s="7" t="s">
        <v>854</v>
      </c>
    </row>
    <row r="72" spans="1:12" ht="25.5" customHeight="1">
      <c r="A72" s="6">
        <v>46012</v>
      </c>
      <c r="B72" s="5" t="s">
        <v>844</v>
      </c>
      <c r="C72" s="5" t="s">
        <v>778</v>
      </c>
      <c r="D72" s="5" t="s">
        <v>855</v>
      </c>
      <c r="G72" s="5" t="s">
        <v>851</v>
      </c>
      <c r="H72" s="5" t="s">
        <v>856</v>
      </c>
      <c r="I72" s="5" t="s">
        <v>848</v>
      </c>
      <c r="K72" s="7" t="s">
        <v>875</v>
      </c>
    </row>
    <row r="73" spans="1:12" ht="25.5" customHeight="1">
      <c r="A73" s="59">
        <v>46012</v>
      </c>
      <c r="B73" s="61" t="s">
        <v>857</v>
      </c>
      <c r="C73" s="61" t="s">
        <v>782</v>
      </c>
      <c r="D73" s="61" t="s">
        <v>858</v>
      </c>
      <c r="E73" s="61"/>
      <c r="F73" s="61" t="s">
        <v>1246</v>
      </c>
      <c r="G73" s="61" t="s">
        <v>859</v>
      </c>
      <c r="H73" s="61">
        <v>13699086276</v>
      </c>
      <c r="I73" s="61" t="s">
        <v>860</v>
      </c>
      <c r="J73" s="62" t="s">
        <v>1206</v>
      </c>
      <c r="K73" s="72" t="s">
        <v>1547</v>
      </c>
    </row>
    <row r="74" spans="1:12" ht="25.5" customHeight="1">
      <c r="A74" s="6">
        <v>46012</v>
      </c>
      <c r="B74" s="5" t="s">
        <v>857</v>
      </c>
      <c r="C74" s="5" t="s">
        <v>782</v>
      </c>
      <c r="G74" s="5" t="s">
        <v>861</v>
      </c>
      <c r="H74" s="5">
        <v>15378216064</v>
      </c>
      <c r="I74" s="5" t="s">
        <v>862</v>
      </c>
      <c r="K74" s="7" t="s">
        <v>863</v>
      </c>
    </row>
    <row r="75" spans="1:12" ht="25.5" customHeight="1">
      <c r="A75" s="6">
        <v>46012</v>
      </c>
      <c r="B75" s="5" t="s">
        <v>857</v>
      </c>
      <c r="C75" s="5" t="s">
        <v>782</v>
      </c>
      <c r="D75" s="5" t="s">
        <v>864</v>
      </c>
      <c r="F75" s="5" t="s">
        <v>871</v>
      </c>
      <c r="G75" s="5" t="s">
        <v>865</v>
      </c>
      <c r="H75" s="5">
        <v>15216606160</v>
      </c>
      <c r="I75" s="5" t="s">
        <v>866</v>
      </c>
      <c r="J75" s="7" t="s">
        <v>867</v>
      </c>
      <c r="K75" s="7" t="s">
        <v>934</v>
      </c>
    </row>
    <row r="76" spans="1:12" ht="25.5" customHeight="1">
      <c r="A76" s="6">
        <v>46012</v>
      </c>
      <c r="B76" s="5" t="s">
        <v>876</v>
      </c>
      <c r="C76" s="5" t="s">
        <v>782</v>
      </c>
      <c r="D76" s="5" t="s">
        <v>877</v>
      </c>
      <c r="F76" s="5" t="s">
        <v>879</v>
      </c>
      <c r="G76" s="5" t="s">
        <v>878</v>
      </c>
      <c r="H76" s="5">
        <v>15892601346</v>
      </c>
      <c r="I76" s="5" t="s">
        <v>881</v>
      </c>
      <c r="J76" s="7" t="s">
        <v>880</v>
      </c>
      <c r="K76" s="7" t="s">
        <v>887</v>
      </c>
    </row>
    <row r="77" spans="1:12" ht="25.5" customHeight="1">
      <c r="A77" s="6">
        <v>46013</v>
      </c>
      <c r="B77" s="5" t="s">
        <v>896</v>
      </c>
      <c r="C77" s="5" t="s">
        <v>778</v>
      </c>
      <c r="D77" s="5" t="s">
        <v>897</v>
      </c>
      <c r="G77" s="5" t="s">
        <v>898</v>
      </c>
      <c r="H77" s="5" t="s">
        <v>900</v>
      </c>
      <c r="I77" s="5" t="s">
        <v>899</v>
      </c>
      <c r="K77" s="7" t="s">
        <v>901</v>
      </c>
    </row>
    <row r="78" spans="1:12" ht="25.5" customHeight="1">
      <c r="A78" s="57">
        <v>46013</v>
      </c>
      <c r="B78" s="41" t="s">
        <v>868</v>
      </c>
      <c r="C78" s="41" t="s">
        <v>782</v>
      </c>
      <c r="D78" s="41" t="s">
        <v>869</v>
      </c>
      <c r="E78" s="41"/>
      <c r="F78" s="41" t="s">
        <v>872</v>
      </c>
      <c r="G78" s="41" t="s">
        <v>870</v>
      </c>
      <c r="H78" s="41">
        <v>18281901234</v>
      </c>
      <c r="I78" s="41" t="s">
        <v>873</v>
      </c>
      <c r="J78" s="42" t="s">
        <v>874</v>
      </c>
      <c r="K78" s="42" t="s">
        <v>1548</v>
      </c>
    </row>
    <row r="79" spans="1:12" ht="25.5" customHeight="1">
      <c r="A79" s="6">
        <v>46013</v>
      </c>
      <c r="B79" s="5" t="s">
        <v>876</v>
      </c>
      <c r="C79" s="5" t="s">
        <v>782</v>
      </c>
      <c r="D79" s="5" t="s">
        <v>888</v>
      </c>
      <c r="G79" s="5" t="s">
        <v>878</v>
      </c>
      <c r="H79" s="5" t="s">
        <v>889</v>
      </c>
      <c r="I79" s="5" t="s">
        <v>890</v>
      </c>
      <c r="K79" s="7" t="s">
        <v>891</v>
      </c>
    </row>
    <row r="80" spans="1:12" ht="25.5" customHeight="1">
      <c r="A80" s="6">
        <v>46013</v>
      </c>
      <c r="B80" s="5" t="s">
        <v>876</v>
      </c>
      <c r="C80" s="5" t="s">
        <v>782</v>
      </c>
      <c r="D80" s="5" t="s">
        <v>892</v>
      </c>
      <c r="G80" s="5" t="s">
        <v>878</v>
      </c>
      <c r="H80" s="5" t="s">
        <v>893</v>
      </c>
      <c r="I80" s="5" t="s">
        <v>890</v>
      </c>
      <c r="K80" s="7" t="s">
        <v>942</v>
      </c>
    </row>
    <row r="81" spans="1:11" ht="25.5" customHeight="1">
      <c r="A81" s="6">
        <v>46013</v>
      </c>
      <c r="B81" s="5" t="s">
        <v>896</v>
      </c>
      <c r="C81" s="5" t="s">
        <v>778</v>
      </c>
      <c r="D81" s="5" t="s">
        <v>902</v>
      </c>
      <c r="G81" s="5" t="s">
        <v>903</v>
      </c>
      <c r="H81" s="5" t="s">
        <v>904</v>
      </c>
      <c r="I81" s="5" t="s">
        <v>905</v>
      </c>
      <c r="K81" s="7" t="s">
        <v>906</v>
      </c>
    </row>
    <row r="82" spans="1:11" ht="25.5" customHeight="1">
      <c r="A82" s="6">
        <v>46014</v>
      </c>
      <c r="B82" s="5" t="s">
        <v>896</v>
      </c>
      <c r="C82" s="5" t="s">
        <v>778</v>
      </c>
      <c r="D82" s="5" t="s">
        <v>907</v>
      </c>
      <c r="G82" s="5" t="s">
        <v>903</v>
      </c>
      <c r="H82" s="5" t="s">
        <v>908</v>
      </c>
      <c r="I82" s="5" t="s">
        <v>909</v>
      </c>
      <c r="K82" s="7" t="s">
        <v>906</v>
      </c>
    </row>
    <row r="83" spans="1:11" ht="25.5" customHeight="1">
      <c r="A83" s="6">
        <v>46014</v>
      </c>
      <c r="B83" s="5" t="s">
        <v>896</v>
      </c>
      <c r="C83" s="5" t="s">
        <v>778</v>
      </c>
      <c r="D83" s="5" t="s">
        <v>910</v>
      </c>
      <c r="G83" s="5" t="s">
        <v>903</v>
      </c>
      <c r="H83" s="5" t="s">
        <v>911</v>
      </c>
      <c r="I83" s="5" t="s">
        <v>912</v>
      </c>
      <c r="K83" s="7" t="s">
        <v>968</v>
      </c>
    </row>
    <row r="84" spans="1:11" ht="25.5" customHeight="1">
      <c r="A84" s="6">
        <v>46014</v>
      </c>
      <c r="B84" s="5" t="s">
        <v>913</v>
      </c>
      <c r="C84" s="5" t="s">
        <v>778</v>
      </c>
      <c r="D84" s="5" t="s">
        <v>915</v>
      </c>
      <c r="G84" s="5" t="s">
        <v>914</v>
      </c>
      <c r="H84" s="5" t="s">
        <v>916</v>
      </c>
      <c r="I84" s="5" t="s">
        <v>917</v>
      </c>
      <c r="J84" s="7" t="s">
        <v>918</v>
      </c>
      <c r="K84" s="7" t="s">
        <v>941</v>
      </c>
    </row>
    <row r="85" spans="1:11" ht="25.5" customHeight="1">
      <c r="A85" s="57">
        <v>46014</v>
      </c>
      <c r="B85" s="41" t="s">
        <v>913</v>
      </c>
      <c r="C85" s="41" t="s">
        <v>778</v>
      </c>
      <c r="D85" s="41" t="s">
        <v>919</v>
      </c>
      <c r="E85" s="41"/>
      <c r="F85" s="41" t="s">
        <v>922</v>
      </c>
      <c r="G85" s="41" t="s">
        <v>920</v>
      </c>
      <c r="H85" s="41">
        <v>15881695381</v>
      </c>
      <c r="I85" s="41" t="s">
        <v>566</v>
      </c>
      <c r="J85" s="42" t="s">
        <v>921</v>
      </c>
      <c r="K85" s="42" t="s">
        <v>969</v>
      </c>
    </row>
    <row r="86" spans="1:11" ht="25.5" customHeight="1">
      <c r="A86" s="6">
        <v>46015</v>
      </c>
      <c r="B86" s="5" t="s">
        <v>936</v>
      </c>
      <c r="C86" s="5" t="s">
        <v>583</v>
      </c>
      <c r="D86" s="5" t="s">
        <v>937</v>
      </c>
      <c r="G86" s="5" t="s">
        <v>938</v>
      </c>
      <c r="H86" s="5" t="s">
        <v>939</v>
      </c>
      <c r="I86" s="5" t="s">
        <v>940</v>
      </c>
      <c r="K86" s="7" t="s">
        <v>942</v>
      </c>
    </row>
    <row r="87" spans="1:11" ht="25.5" customHeight="1">
      <c r="A87" s="6">
        <v>46015</v>
      </c>
      <c r="B87" s="5" t="s">
        <v>936</v>
      </c>
      <c r="C87" s="5" t="s">
        <v>943</v>
      </c>
      <c r="D87" s="5" t="s">
        <v>944</v>
      </c>
      <c r="G87" s="5" t="s">
        <v>945</v>
      </c>
      <c r="H87" s="5" t="s">
        <v>946</v>
      </c>
      <c r="I87" s="5" t="s">
        <v>947</v>
      </c>
      <c r="K87" s="7" t="s">
        <v>968</v>
      </c>
    </row>
    <row r="88" spans="1:11" ht="25.5" customHeight="1">
      <c r="A88" s="55">
        <v>46015</v>
      </c>
      <c r="B88" s="28" t="s">
        <v>948</v>
      </c>
      <c r="C88" s="28" t="s">
        <v>583</v>
      </c>
      <c r="D88" s="28"/>
      <c r="E88" s="28"/>
      <c r="F88" s="26" t="s">
        <v>1029</v>
      </c>
      <c r="G88" s="28" t="s">
        <v>955</v>
      </c>
      <c r="H88" s="28">
        <v>15328231957</v>
      </c>
      <c r="I88" s="28" t="s">
        <v>956</v>
      </c>
      <c r="J88" s="51" t="s">
        <v>957</v>
      </c>
      <c r="K88" s="29" t="s">
        <v>1032</v>
      </c>
    </row>
    <row r="89" spans="1:11" ht="25.5" customHeight="1">
      <c r="A89" s="6">
        <v>46015</v>
      </c>
      <c r="B89" s="5" t="s">
        <v>958</v>
      </c>
      <c r="C89" s="5" t="s">
        <v>583</v>
      </c>
      <c r="D89" s="5" t="s">
        <v>963</v>
      </c>
      <c r="G89" s="5" t="s">
        <v>964</v>
      </c>
      <c r="H89" s="5" t="s">
        <v>965</v>
      </c>
      <c r="I89" s="5" t="s">
        <v>966</v>
      </c>
      <c r="K89" s="7" t="s">
        <v>967</v>
      </c>
    </row>
    <row r="90" spans="1:11" ht="25.5" customHeight="1">
      <c r="A90" s="54">
        <v>46016</v>
      </c>
      <c r="B90" s="22" t="s">
        <v>958</v>
      </c>
      <c r="C90" s="22" t="s">
        <v>583</v>
      </c>
      <c r="D90" s="22" t="s">
        <v>959</v>
      </c>
      <c r="E90" s="22"/>
      <c r="F90" s="44" t="s">
        <v>1028</v>
      </c>
      <c r="G90" s="22" t="s">
        <v>960</v>
      </c>
      <c r="H90" s="22">
        <v>18608090589</v>
      </c>
      <c r="I90" s="22" t="s">
        <v>961</v>
      </c>
      <c r="J90" s="23" t="s">
        <v>962</v>
      </c>
      <c r="K90" s="23" t="s">
        <v>2163</v>
      </c>
    </row>
    <row r="91" spans="1:11" ht="25.5" customHeight="1">
      <c r="A91" s="6">
        <v>46016</v>
      </c>
      <c r="B91" s="5" t="s">
        <v>958</v>
      </c>
      <c r="G91" s="5" t="s">
        <v>970</v>
      </c>
      <c r="H91" s="5" t="s">
        <v>971</v>
      </c>
      <c r="K91" s="7" t="s">
        <v>968</v>
      </c>
    </row>
    <row r="92" spans="1:11" ht="25.5" customHeight="1">
      <c r="A92" s="6">
        <v>46016</v>
      </c>
      <c r="B92" s="5" t="s">
        <v>958</v>
      </c>
      <c r="C92" s="5" t="s">
        <v>583</v>
      </c>
      <c r="D92" s="5" t="s">
        <v>973</v>
      </c>
      <c r="G92" s="5" t="s">
        <v>960</v>
      </c>
      <c r="H92" s="5" t="s">
        <v>972</v>
      </c>
      <c r="I92" s="5" t="s">
        <v>976</v>
      </c>
      <c r="K92" s="7" t="s">
        <v>977</v>
      </c>
    </row>
    <row r="93" spans="1:11" ht="25.5" customHeight="1">
      <c r="A93" s="6">
        <v>46016</v>
      </c>
      <c r="B93" s="5" t="s">
        <v>958</v>
      </c>
      <c r="C93" s="5" t="s">
        <v>583</v>
      </c>
      <c r="D93" s="5" t="s">
        <v>978</v>
      </c>
      <c r="G93" s="5" t="s">
        <v>970</v>
      </c>
      <c r="H93" s="5" t="s">
        <v>979</v>
      </c>
      <c r="I93" s="5" t="s">
        <v>966</v>
      </c>
      <c r="K93" s="7" t="s">
        <v>980</v>
      </c>
    </row>
    <row r="94" spans="1:11" ht="25.5" customHeight="1">
      <c r="A94" s="73">
        <v>46016</v>
      </c>
      <c r="B94" s="74" t="s">
        <v>981</v>
      </c>
      <c r="C94" s="74" t="s">
        <v>583</v>
      </c>
      <c r="D94" s="74" t="s">
        <v>982</v>
      </c>
      <c r="E94" s="74"/>
      <c r="F94" s="74" t="s">
        <v>1549</v>
      </c>
      <c r="G94" s="74" t="s">
        <v>983</v>
      </c>
      <c r="H94" s="74">
        <v>18281625020</v>
      </c>
      <c r="I94" s="74" t="s">
        <v>984</v>
      </c>
      <c r="J94" s="75" t="s">
        <v>986</v>
      </c>
      <c r="K94" s="75" t="s">
        <v>985</v>
      </c>
    </row>
    <row r="95" spans="1:11" ht="25.5" customHeight="1">
      <c r="A95" s="6">
        <v>46016</v>
      </c>
      <c r="B95" s="5" t="s">
        <v>981</v>
      </c>
      <c r="C95" s="5" t="s">
        <v>583</v>
      </c>
      <c r="D95" s="5" t="s">
        <v>987</v>
      </c>
      <c r="G95" s="5" t="s">
        <v>988</v>
      </c>
      <c r="H95" s="5" t="s">
        <v>989</v>
      </c>
    </row>
    <row r="96" spans="1:11" ht="25.5" customHeight="1">
      <c r="A96" s="6">
        <v>46017</v>
      </c>
      <c r="B96" s="5" t="s">
        <v>991</v>
      </c>
      <c r="C96" s="5" t="s">
        <v>583</v>
      </c>
      <c r="D96" s="5" t="s">
        <v>992</v>
      </c>
      <c r="G96" s="5" t="s">
        <v>993</v>
      </c>
      <c r="H96" s="5" t="s">
        <v>994</v>
      </c>
      <c r="I96" s="5" t="s">
        <v>995</v>
      </c>
      <c r="K96" s="7" t="s">
        <v>996</v>
      </c>
    </row>
    <row r="97" spans="1:11" ht="25.5" customHeight="1">
      <c r="A97" s="6">
        <v>46017</v>
      </c>
      <c r="B97" s="5" t="s">
        <v>991</v>
      </c>
      <c r="C97" s="5" t="s">
        <v>583</v>
      </c>
      <c r="D97" s="5" t="s">
        <v>997</v>
      </c>
      <c r="G97" s="5" t="s">
        <v>993</v>
      </c>
      <c r="H97" s="5" t="s">
        <v>998</v>
      </c>
      <c r="I97" s="5" t="s">
        <v>995</v>
      </c>
      <c r="K97" s="7" t="s">
        <v>999</v>
      </c>
    </row>
    <row r="98" spans="1:11" ht="25.5" customHeight="1">
      <c r="A98" s="6">
        <v>46017</v>
      </c>
      <c r="B98" s="5" t="s">
        <v>991</v>
      </c>
      <c r="C98" s="5" t="s">
        <v>583</v>
      </c>
      <c r="D98" s="5" t="s">
        <v>1000</v>
      </c>
      <c r="G98" s="5" t="s">
        <v>1001</v>
      </c>
      <c r="H98" s="5" t="s">
        <v>1002</v>
      </c>
      <c r="I98" s="5" t="s">
        <v>1003</v>
      </c>
      <c r="K98" s="7" t="s">
        <v>1004</v>
      </c>
    </row>
    <row r="99" spans="1:11" ht="25.5" customHeight="1">
      <c r="A99" s="6">
        <v>46017</v>
      </c>
      <c r="B99" s="5" t="s">
        <v>991</v>
      </c>
      <c r="C99" s="5" t="s">
        <v>583</v>
      </c>
      <c r="D99" s="5" t="s">
        <v>1005</v>
      </c>
      <c r="G99" s="5" t="s">
        <v>993</v>
      </c>
      <c r="H99" s="5" t="s">
        <v>1006</v>
      </c>
      <c r="I99" s="5" t="s">
        <v>1007</v>
      </c>
      <c r="K99" s="7" t="s">
        <v>1008</v>
      </c>
    </row>
    <row r="100" spans="1:11" ht="25.5" customHeight="1">
      <c r="A100" s="54">
        <v>46018</v>
      </c>
      <c r="B100" s="44" t="s">
        <v>1009</v>
      </c>
      <c r="C100" s="44" t="s">
        <v>583</v>
      </c>
      <c r="D100" s="44" t="s">
        <v>1017</v>
      </c>
      <c r="E100" s="22"/>
      <c r="F100" s="22"/>
      <c r="G100" s="44" t="s">
        <v>1018</v>
      </c>
      <c r="H100" s="44" t="s">
        <v>1019</v>
      </c>
      <c r="I100" s="44" t="s">
        <v>756</v>
      </c>
      <c r="J100" s="23" t="s">
        <v>1166</v>
      </c>
      <c r="K100" s="36" t="s">
        <v>1192</v>
      </c>
    </row>
    <row r="101" spans="1:11" ht="25.5" customHeight="1">
      <c r="A101" s="59">
        <v>46018</v>
      </c>
      <c r="B101" s="60" t="s">
        <v>1009</v>
      </c>
      <c r="C101" s="60" t="s">
        <v>1020</v>
      </c>
      <c r="D101" s="60" t="s">
        <v>1021</v>
      </c>
      <c r="E101" s="61"/>
      <c r="F101" s="61"/>
      <c r="G101" s="60" t="s">
        <v>1018</v>
      </c>
      <c r="H101" s="61">
        <v>18683678565</v>
      </c>
      <c r="I101" s="60" t="s">
        <v>1022</v>
      </c>
      <c r="J101" s="62" t="s">
        <v>990</v>
      </c>
      <c r="K101" s="62" t="s">
        <v>1033</v>
      </c>
    </row>
    <row r="102" spans="1:11" ht="25.5" customHeight="1">
      <c r="A102" s="6">
        <v>46018</v>
      </c>
      <c r="B102" s="25" t="s">
        <v>1009</v>
      </c>
      <c r="C102" s="25" t="s">
        <v>583</v>
      </c>
      <c r="D102" s="25" t="s">
        <v>1023</v>
      </c>
      <c r="G102" s="25" t="s">
        <v>1024</v>
      </c>
      <c r="H102" s="5">
        <v>13890185311</v>
      </c>
      <c r="I102" s="25" t="s">
        <v>1025</v>
      </c>
      <c r="J102" s="9" t="s">
        <v>1027</v>
      </c>
      <c r="K102" s="9" t="s">
        <v>1026</v>
      </c>
    </row>
    <row r="103" spans="1:11" ht="25.5" customHeight="1">
      <c r="A103" s="6">
        <v>46018</v>
      </c>
      <c r="B103" s="25" t="s">
        <v>1009</v>
      </c>
      <c r="C103" s="25" t="s">
        <v>583</v>
      </c>
      <c r="D103" s="25" t="s">
        <v>1039</v>
      </c>
      <c r="F103" s="25" t="s">
        <v>1041</v>
      </c>
      <c r="G103" s="25" t="s">
        <v>1024</v>
      </c>
      <c r="H103" s="5">
        <v>18881681118</v>
      </c>
      <c r="I103" s="25" t="s">
        <v>1022</v>
      </c>
      <c r="J103" s="9" t="s">
        <v>1040</v>
      </c>
      <c r="K103" s="9" t="s">
        <v>1042</v>
      </c>
    </row>
    <row r="104" spans="1:11" ht="25.5" customHeight="1">
      <c r="A104" s="57">
        <v>46018</v>
      </c>
      <c r="B104" s="46" t="s">
        <v>1009</v>
      </c>
      <c r="C104" s="46" t="s">
        <v>583</v>
      </c>
      <c r="D104" s="46" t="s">
        <v>1043</v>
      </c>
      <c r="E104" s="41"/>
      <c r="F104" s="46" t="s">
        <v>1044</v>
      </c>
      <c r="G104" s="46" t="s">
        <v>1045</v>
      </c>
      <c r="H104" s="41">
        <v>15908239600</v>
      </c>
      <c r="I104" s="46" t="s">
        <v>1046</v>
      </c>
      <c r="J104" s="43" t="s">
        <v>1047</v>
      </c>
      <c r="K104" s="42" t="s">
        <v>2164</v>
      </c>
    </row>
    <row r="105" spans="1:11" ht="25.5" customHeight="1">
      <c r="A105" s="6">
        <v>46020</v>
      </c>
      <c r="B105" s="5" t="s">
        <v>1048</v>
      </c>
      <c r="C105" s="5" t="s">
        <v>583</v>
      </c>
      <c r="G105" s="5" t="s">
        <v>1050</v>
      </c>
      <c r="H105" s="5" t="s">
        <v>1051</v>
      </c>
      <c r="K105" s="7" t="s">
        <v>1049</v>
      </c>
    </row>
    <row r="106" spans="1:11" ht="25.5" customHeight="1">
      <c r="A106" s="6">
        <v>46020</v>
      </c>
      <c r="B106" s="5" t="s">
        <v>1048</v>
      </c>
      <c r="C106" s="5" t="s">
        <v>583</v>
      </c>
      <c r="G106" s="5" t="s">
        <v>1052</v>
      </c>
      <c r="H106" s="5" t="s">
        <v>1053</v>
      </c>
      <c r="K106" s="7" t="s">
        <v>1054</v>
      </c>
    </row>
    <row r="107" spans="1:11" ht="25.5" customHeight="1">
      <c r="A107" s="6">
        <v>46020</v>
      </c>
      <c r="B107" s="5" t="s">
        <v>1048</v>
      </c>
      <c r="C107" s="5" t="s">
        <v>583</v>
      </c>
      <c r="G107" s="5" t="s">
        <v>1050</v>
      </c>
      <c r="H107" s="5">
        <v>17828651928</v>
      </c>
      <c r="K107" s="7" t="s">
        <v>1055</v>
      </c>
    </row>
    <row r="108" spans="1:11" ht="25.5" customHeight="1">
      <c r="A108" s="6">
        <v>46020</v>
      </c>
      <c r="B108" s="5" t="s">
        <v>1048</v>
      </c>
      <c r="C108" s="5" t="s">
        <v>583</v>
      </c>
      <c r="D108" s="5" t="s">
        <v>1056</v>
      </c>
      <c r="G108" s="5" t="s">
        <v>1050</v>
      </c>
      <c r="H108" s="5" t="s">
        <v>1057</v>
      </c>
      <c r="K108" s="7" t="s">
        <v>1054</v>
      </c>
    </row>
    <row r="109" spans="1:11" ht="25.5" customHeight="1">
      <c r="A109" s="56">
        <v>46020</v>
      </c>
      <c r="B109" s="37" t="s">
        <v>1048</v>
      </c>
      <c r="C109" s="37" t="s">
        <v>1058</v>
      </c>
      <c r="D109" s="37" t="s">
        <v>1059</v>
      </c>
      <c r="E109" s="37"/>
      <c r="F109" s="37"/>
      <c r="G109" s="37" t="s">
        <v>1050</v>
      </c>
      <c r="H109" s="37">
        <v>15982329100</v>
      </c>
      <c r="I109" s="37"/>
      <c r="J109" s="38"/>
      <c r="K109" s="38" t="s">
        <v>1060</v>
      </c>
    </row>
    <row r="110" spans="1:11" ht="25.5" customHeight="1">
      <c r="A110" s="6">
        <v>46020</v>
      </c>
      <c r="B110" s="5" t="s">
        <v>1061</v>
      </c>
      <c r="C110" s="5" t="s">
        <v>583</v>
      </c>
      <c r="D110" s="5" t="s">
        <v>1062</v>
      </c>
      <c r="G110" s="5" t="s">
        <v>1063</v>
      </c>
      <c r="H110" s="5">
        <v>13350017850</v>
      </c>
      <c r="I110" s="5" t="s">
        <v>1064</v>
      </c>
      <c r="J110" s="7" t="s">
        <v>1550</v>
      </c>
      <c r="K110" s="7" t="s">
        <v>1551</v>
      </c>
    </row>
    <row r="111" spans="1:11" ht="25.5" customHeight="1">
      <c r="A111" s="6">
        <v>46021</v>
      </c>
      <c r="B111" s="5" t="s">
        <v>1066</v>
      </c>
      <c r="C111" s="5" t="s">
        <v>583</v>
      </c>
      <c r="G111" s="5" t="s">
        <v>1067</v>
      </c>
      <c r="H111" s="5">
        <v>17780155197</v>
      </c>
      <c r="I111" s="5" t="s">
        <v>1068</v>
      </c>
      <c r="K111" s="7" t="s">
        <v>1069</v>
      </c>
    </row>
    <row r="112" spans="1:11" ht="25.5" customHeight="1">
      <c r="A112" s="6">
        <v>46021</v>
      </c>
      <c r="B112" s="5" t="s">
        <v>1066</v>
      </c>
      <c r="C112" s="5" t="s">
        <v>583</v>
      </c>
      <c r="D112" s="5" t="s">
        <v>1070</v>
      </c>
      <c r="G112" s="5" t="s">
        <v>1071</v>
      </c>
      <c r="H112" s="5" t="s">
        <v>1072</v>
      </c>
      <c r="I112" s="5" t="s">
        <v>1073</v>
      </c>
      <c r="K112" s="7" t="s">
        <v>1074</v>
      </c>
    </row>
    <row r="113" spans="1:12" ht="25.5" customHeight="1">
      <c r="A113" s="56">
        <v>46022</v>
      </c>
      <c r="B113" s="37" t="s">
        <v>1075</v>
      </c>
      <c r="C113" s="37" t="s">
        <v>583</v>
      </c>
      <c r="D113" s="37" t="s">
        <v>1076</v>
      </c>
      <c r="E113" s="37"/>
      <c r="F113" s="37"/>
      <c r="G113" s="37" t="s">
        <v>1077</v>
      </c>
      <c r="H113" s="37">
        <v>18881181021</v>
      </c>
      <c r="I113" s="37" t="s">
        <v>1078</v>
      </c>
      <c r="J113" s="40" t="s">
        <v>1177</v>
      </c>
      <c r="K113" s="38"/>
      <c r="L113" s="58" t="s">
        <v>1178</v>
      </c>
    </row>
    <row r="114" spans="1:12" ht="25.5" customHeight="1">
      <c r="A114" s="54">
        <v>46022</v>
      </c>
      <c r="B114" s="22" t="s">
        <v>1079</v>
      </c>
      <c r="C114" s="22" t="s">
        <v>583</v>
      </c>
      <c r="D114" s="22" t="s">
        <v>1080</v>
      </c>
      <c r="E114" s="22"/>
      <c r="F114" s="22"/>
      <c r="G114" s="22" t="s">
        <v>1081</v>
      </c>
      <c r="H114" s="22">
        <v>15182164117</v>
      </c>
      <c r="I114" s="22" t="s">
        <v>1082</v>
      </c>
      <c r="J114" s="23"/>
      <c r="K114" s="23"/>
    </row>
    <row r="115" spans="1:12" ht="25.5" customHeight="1">
      <c r="A115" s="6">
        <v>46022</v>
      </c>
      <c r="B115" s="5" t="s">
        <v>1079</v>
      </c>
      <c r="C115" s="5" t="s">
        <v>583</v>
      </c>
      <c r="G115" s="5" t="s">
        <v>1081</v>
      </c>
      <c r="H115" s="5" t="s">
        <v>1083</v>
      </c>
      <c r="I115" s="5" t="s">
        <v>1082</v>
      </c>
      <c r="K115" s="7" t="s">
        <v>1223</v>
      </c>
    </row>
    <row r="116" spans="1:12" ht="25.5" customHeight="1">
      <c r="A116" s="59">
        <v>46025</v>
      </c>
      <c r="B116" s="60" t="s">
        <v>1092</v>
      </c>
      <c r="C116" s="60" t="s">
        <v>583</v>
      </c>
      <c r="D116" s="60" t="s">
        <v>1104</v>
      </c>
      <c r="E116" s="61"/>
      <c r="F116" s="61" t="s">
        <v>1248</v>
      </c>
      <c r="G116" s="60" t="s">
        <v>1105</v>
      </c>
      <c r="H116" s="60">
        <v>18281589862</v>
      </c>
      <c r="I116" s="60" t="s">
        <v>1106</v>
      </c>
      <c r="J116" s="72" t="s">
        <v>1167</v>
      </c>
      <c r="K116" s="62" t="s">
        <v>1552</v>
      </c>
    </row>
    <row r="117" spans="1:12" ht="25.5" customHeight="1">
      <c r="A117" s="6">
        <v>46025</v>
      </c>
      <c r="B117" s="25" t="s">
        <v>1092</v>
      </c>
      <c r="C117" s="25" t="s">
        <v>583</v>
      </c>
      <c r="D117" s="25" t="s">
        <v>1107</v>
      </c>
      <c r="G117" s="25" t="s">
        <v>1105</v>
      </c>
      <c r="H117" s="25" t="s">
        <v>1108</v>
      </c>
      <c r="I117" s="25" t="s">
        <v>1109</v>
      </c>
      <c r="K117" s="9" t="s">
        <v>1098</v>
      </c>
    </row>
    <row r="118" spans="1:12" ht="25.5" customHeight="1">
      <c r="A118" s="6">
        <v>46025</v>
      </c>
      <c r="B118" s="25" t="s">
        <v>1092</v>
      </c>
      <c r="C118" s="25" t="s">
        <v>710</v>
      </c>
      <c r="D118" s="25" t="s">
        <v>1110</v>
      </c>
      <c r="G118" s="25" t="s">
        <v>1105</v>
      </c>
      <c r="H118" s="25" t="s">
        <v>1111</v>
      </c>
      <c r="I118" s="25" t="s">
        <v>1112</v>
      </c>
      <c r="K118" s="9" t="s">
        <v>1113</v>
      </c>
    </row>
    <row r="119" spans="1:12" ht="25.5" customHeight="1">
      <c r="A119" s="6">
        <v>46025</v>
      </c>
      <c r="B119" s="25" t="s">
        <v>1092</v>
      </c>
      <c r="C119" s="25" t="s">
        <v>583</v>
      </c>
      <c r="D119" s="25" t="s">
        <v>1114</v>
      </c>
      <c r="G119" s="25" t="s">
        <v>1105</v>
      </c>
      <c r="H119" s="5">
        <v>15908152898</v>
      </c>
      <c r="I119" s="25" t="s">
        <v>1115</v>
      </c>
      <c r="J119" s="9" t="s">
        <v>1116</v>
      </c>
      <c r="K119" s="7" t="s">
        <v>1553</v>
      </c>
    </row>
    <row r="120" spans="1:12" ht="25.5" customHeight="1">
      <c r="A120" s="6">
        <v>46025</v>
      </c>
      <c r="B120" s="5" t="s">
        <v>1117</v>
      </c>
      <c r="C120" s="5" t="s">
        <v>583</v>
      </c>
      <c r="F120" s="5" t="s">
        <v>1119</v>
      </c>
      <c r="G120" s="5" t="s">
        <v>1118</v>
      </c>
      <c r="H120" s="5">
        <v>13890182509</v>
      </c>
      <c r="I120" s="5" t="s">
        <v>1120</v>
      </c>
      <c r="K120" s="7" t="s">
        <v>1121</v>
      </c>
    </row>
    <row r="121" spans="1:12" ht="25.5" customHeight="1">
      <c r="A121" s="56">
        <v>46026</v>
      </c>
      <c r="B121" s="37" t="s">
        <v>1122</v>
      </c>
      <c r="C121" s="37" t="s">
        <v>583</v>
      </c>
      <c r="D121" s="37" t="s">
        <v>1137</v>
      </c>
      <c r="E121" s="37" t="s">
        <v>1152</v>
      </c>
      <c r="F121" s="37"/>
      <c r="G121" s="37" t="s">
        <v>1125</v>
      </c>
      <c r="H121" s="37">
        <v>18981152489</v>
      </c>
      <c r="I121" s="65" t="s">
        <v>1151</v>
      </c>
      <c r="J121" s="40" t="s">
        <v>1153</v>
      </c>
      <c r="K121" s="40" t="s">
        <v>1554</v>
      </c>
    </row>
    <row r="122" spans="1:12" ht="25.5" customHeight="1">
      <c r="A122" s="6">
        <v>46026</v>
      </c>
      <c r="B122" s="5" t="s">
        <v>1143</v>
      </c>
      <c r="C122" s="5" t="s">
        <v>583</v>
      </c>
      <c r="D122" s="5" t="s">
        <v>1148</v>
      </c>
      <c r="G122" s="5" t="s">
        <v>1146</v>
      </c>
      <c r="H122" s="5" t="s">
        <v>1147</v>
      </c>
      <c r="I122" s="5" t="s">
        <v>1149</v>
      </c>
      <c r="K122" s="7" t="s">
        <v>1150</v>
      </c>
    </row>
    <row r="123" spans="1:12" ht="25.5" customHeight="1">
      <c r="A123" s="6">
        <v>46026</v>
      </c>
      <c r="B123" s="5" t="s">
        <v>1143</v>
      </c>
      <c r="C123" s="5" t="s">
        <v>583</v>
      </c>
      <c r="E123" s="5" t="s">
        <v>1154</v>
      </c>
      <c r="G123" s="5" t="s">
        <v>1146</v>
      </c>
      <c r="H123" s="5" t="s">
        <v>1155</v>
      </c>
      <c r="I123" s="5" t="s">
        <v>1149</v>
      </c>
      <c r="K123" s="7" t="s">
        <v>1156</v>
      </c>
    </row>
    <row r="124" spans="1:12" ht="25.5" customHeight="1">
      <c r="A124" s="6">
        <v>46026</v>
      </c>
      <c r="B124" s="5" t="s">
        <v>1143</v>
      </c>
      <c r="C124" s="5" t="s">
        <v>583</v>
      </c>
      <c r="D124" s="5" t="s">
        <v>1157</v>
      </c>
      <c r="E124" s="5" t="s">
        <v>1158</v>
      </c>
      <c r="G124" s="5" t="s">
        <v>1159</v>
      </c>
      <c r="H124" s="5" t="s">
        <v>1160</v>
      </c>
      <c r="I124" s="5" t="s">
        <v>1161</v>
      </c>
      <c r="K124" s="7" t="s">
        <v>1162</v>
      </c>
    </row>
    <row r="125" spans="1:12" ht="25.5" customHeight="1">
      <c r="A125" s="6">
        <v>46026</v>
      </c>
      <c r="B125" s="5" t="s">
        <v>1143</v>
      </c>
      <c r="C125" s="5" t="s">
        <v>583</v>
      </c>
      <c r="D125" s="5" t="s">
        <v>1163</v>
      </c>
      <c r="E125" s="5" t="s">
        <v>1154</v>
      </c>
      <c r="G125" s="5" t="s">
        <v>1164</v>
      </c>
      <c r="H125" s="5" t="s">
        <v>1165</v>
      </c>
      <c r="I125" s="5" t="s">
        <v>1149</v>
      </c>
      <c r="K125" s="7" t="s">
        <v>1150</v>
      </c>
    </row>
    <row r="126" spans="1:12" ht="25.5" customHeight="1">
      <c r="A126" s="6">
        <v>46026</v>
      </c>
      <c r="B126" s="5" t="s">
        <v>1168</v>
      </c>
      <c r="C126" s="5" t="s">
        <v>583</v>
      </c>
      <c r="D126" s="5" t="s">
        <v>1169</v>
      </c>
      <c r="E126" s="5" t="s">
        <v>1170</v>
      </c>
      <c r="F126" s="5" t="s">
        <v>1174</v>
      </c>
      <c r="G126" s="5" t="s">
        <v>1171</v>
      </c>
      <c r="H126" s="5">
        <v>15882823062</v>
      </c>
      <c r="I126" s="5" t="s">
        <v>1172</v>
      </c>
      <c r="J126" s="7" t="s">
        <v>1173</v>
      </c>
      <c r="K126" s="7" t="s">
        <v>1175</v>
      </c>
    </row>
    <row r="127" spans="1:12" ht="25.5" customHeight="1">
      <c r="A127" s="6">
        <v>46026</v>
      </c>
      <c r="B127" s="25" t="s">
        <v>1168</v>
      </c>
      <c r="C127" s="25" t="s">
        <v>1193</v>
      </c>
      <c r="E127" s="25" t="s">
        <v>1170</v>
      </c>
      <c r="F127" s="25" t="s">
        <v>1194</v>
      </c>
      <c r="G127" s="25" t="s">
        <v>1185</v>
      </c>
      <c r="H127" s="5">
        <v>13908110463</v>
      </c>
      <c r="I127" s="25" t="s">
        <v>1195</v>
      </c>
      <c r="J127" s="9" t="s">
        <v>1196</v>
      </c>
      <c r="K127" s="9" t="s">
        <v>1197</v>
      </c>
    </row>
    <row r="128" spans="1:12" ht="25.5" customHeight="1">
      <c r="A128" s="6">
        <v>46027</v>
      </c>
      <c r="B128" s="5" t="s">
        <v>1168</v>
      </c>
      <c r="C128" s="5" t="s">
        <v>583</v>
      </c>
      <c r="D128" s="25" t="s">
        <v>1179</v>
      </c>
      <c r="E128" s="25" t="s">
        <v>1184</v>
      </c>
      <c r="G128" s="5" t="s">
        <v>1176</v>
      </c>
      <c r="H128" s="25" t="s">
        <v>1180</v>
      </c>
      <c r="I128" s="25" t="s">
        <v>1181</v>
      </c>
      <c r="K128" s="9" t="s">
        <v>1182</v>
      </c>
    </row>
    <row r="129" spans="1:11" ht="25.5" customHeight="1">
      <c r="A129" s="6">
        <v>46027</v>
      </c>
      <c r="B129" s="25" t="s">
        <v>1168</v>
      </c>
      <c r="C129" s="25" t="s">
        <v>583</v>
      </c>
      <c r="D129" s="25" t="s">
        <v>1183</v>
      </c>
      <c r="E129" s="25" t="s">
        <v>1222</v>
      </c>
      <c r="G129" s="25" t="s">
        <v>1185</v>
      </c>
      <c r="H129" s="25" t="s">
        <v>1186</v>
      </c>
      <c r="I129" s="25" t="s">
        <v>1181</v>
      </c>
      <c r="J129" s="7" t="s">
        <v>1221</v>
      </c>
      <c r="K129" s="9"/>
    </row>
    <row r="130" spans="1:11" ht="25.5" customHeight="1">
      <c r="A130" s="57">
        <v>46027</v>
      </c>
      <c r="B130" s="46" t="s">
        <v>1168</v>
      </c>
      <c r="C130" s="46" t="s">
        <v>583</v>
      </c>
      <c r="D130" s="46" t="s">
        <v>1187</v>
      </c>
      <c r="E130" s="46" t="s">
        <v>1188</v>
      </c>
      <c r="F130" s="46" t="s">
        <v>1189</v>
      </c>
      <c r="G130" s="46" t="s">
        <v>1185</v>
      </c>
      <c r="H130" s="41">
        <v>13908113925</v>
      </c>
      <c r="I130" s="46" t="s">
        <v>1190</v>
      </c>
      <c r="J130" s="43" t="s">
        <v>1191</v>
      </c>
      <c r="K130" s="76" t="s">
        <v>1688</v>
      </c>
    </row>
    <row r="131" spans="1:11" ht="25.5" customHeight="1">
      <c r="A131" s="6">
        <v>46027</v>
      </c>
      <c r="B131" s="5" t="s">
        <v>1210</v>
      </c>
      <c r="C131" s="5" t="s">
        <v>583</v>
      </c>
      <c r="D131" s="5" t="s">
        <v>1211</v>
      </c>
      <c r="E131" s="5" t="s">
        <v>1216</v>
      </c>
      <c r="G131" s="5" t="s">
        <v>1212</v>
      </c>
      <c r="H131" s="5" t="s">
        <v>1213</v>
      </c>
      <c r="I131" s="5" t="s">
        <v>1214</v>
      </c>
      <c r="K131" s="7" t="s">
        <v>1220</v>
      </c>
    </row>
    <row r="132" spans="1:11" ht="25.5" customHeight="1">
      <c r="A132" s="6">
        <v>46027</v>
      </c>
      <c r="B132" s="5" t="s">
        <v>1210</v>
      </c>
      <c r="C132" s="5" t="s">
        <v>583</v>
      </c>
      <c r="D132" s="5" t="s">
        <v>1215</v>
      </c>
      <c r="E132" s="5" t="s">
        <v>1216</v>
      </c>
      <c r="G132" s="5" t="s">
        <v>1217</v>
      </c>
      <c r="H132" s="5" t="s">
        <v>1218</v>
      </c>
      <c r="I132" s="5" t="s">
        <v>1219</v>
      </c>
      <c r="K132" s="7" t="s">
        <v>891</v>
      </c>
    </row>
    <row r="133" spans="1:11" ht="25.5" customHeight="1">
      <c r="A133" s="59">
        <v>46028</v>
      </c>
      <c r="B133" s="61" t="s">
        <v>1224</v>
      </c>
      <c r="C133" s="61" t="s">
        <v>583</v>
      </c>
      <c r="D133" s="61" t="s">
        <v>1225</v>
      </c>
      <c r="E133" s="61" t="s">
        <v>1226</v>
      </c>
      <c r="F133" s="61" t="s">
        <v>1233</v>
      </c>
      <c r="G133" s="61" t="s">
        <v>1227</v>
      </c>
      <c r="H133" s="61">
        <v>18990160393</v>
      </c>
      <c r="I133" s="61" t="s">
        <v>1228</v>
      </c>
      <c r="J133" s="72" t="s">
        <v>1229</v>
      </c>
      <c r="K133" s="62" t="s">
        <v>1555</v>
      </c>
    </row>
    <row r="134" spans="1:11" ht="25.5" customHeight="1">
      <c r="A134" s="6">
        <v>46028</v>
      </c>
      <c r="B134" s="5" t="s">
        <v>1224</v>
      </c>
      <c r="C134" s="5" t="s">
        <v>583</v>
      </c>
      <c r="D134" s="5" t="s">
        <v>1230</v>
      </c>
      <c r="E134" s="5" t="s">
        <v>1226</v>
      </c>
      <c r="F134" s="5" t="s">
        <v>1232</v>
      </c>
      <c r="G134" s="5" t="s">
        <v>1231</v>
      </c>
      <c r="H134" s="5">
        <v>15025695722</v>
      </c>
      <c r="I134" s="5" t="s">
        <v>1235</v>
      </c>
      <c r="J134" s="7" t="s">
        <v>1234</v>
      </c>
    </row>
    <row r="135" spans="1:11" ht="25.5" customHeight="1">
      <c r="A135" s="6">
        <v>46028</v>
      </c>
      <c r="B135" s="5" t="s">
        <v>1224</v>
      </c>
      <c r="C135" s="5" t="s">
        <v>583</v>
      </c>
      <c r="D135" s="5" t="s">
        <v>1236</v>
      </c>
      <c r="E135" s="5" t="s">
        <v>1258</v>
      </c>
      <c r="G135" s="5" t="s">
        <v>1227</v>
      </c>
      <c r="H135" s="5" t="s">
        <v>1237</v>
      </c>
      <c r="I135" s="5" t="s">
        <v>1239</v>
      </c>
      <c r="J135" s="7" t="s">
        <v>1238</v>
      </c>
    </row>
    <row r="136" spans="1:11" ht="25.5" customHeight="1">
      <c r="A136" s="6">
        <v>46028</v>
      </c>
      <c r="B136" s="5" t="s">
        <v>1240</v>
      </c>
      <c r="C136" s="5" t="s">
        <v>583</v>
      </c>
      <c r="D136" s="5" t="s">
        <v>1241</v>
      </c>
      <c r="E136" s="5" t="s">
        <v>1259</v>
      </c>
      <c r="G136" s="5" t="s">
        <v>1242</v>
      </c>
      <c r="H136" s="5">
        <v>18881285558</v>
      </c>
      <c r="I136" s="5" t="s">
        <v>1243</v>
      </c>
      <c r="J136" s="7" t="s">
        <v>1244</v>
      </c>
      <c r="K136" s="7" t="s">
        <v>1245</v>
      </c>
    </row>
    <row r="137" spans="1:11" ht="25.5" customHeight="1">
      <c r="A137" s="6">
        <v>46029</v>
      </c>
      <c r="B137" s="5" t="s">
        <v>1256</v>
      </c>
      <c r="C137" s="5" t="s">
        <v>583</v>
      </c>
      <c r="D137" s="5" t="s">
        <v>1257</v>
      </c>
      <c r="G137" s="5" t="s">
        <v>1260</v>
      </c>
      <c r="H137" s="5" t="s">
        <v>1261</v>
      </c>
      <c r="I137" s="5" t="s">
        <v>1262</v>
      </c>
    </row>
    <row r="138" spans="1:11" ht="25.5" customHeight="1">
      <c r="A138" s="54">
        <v>46029</v>
      </c>
      <c r="B138" s="22" t="s">
        <v>1256</v>
      </c>
      <c r="C138" s="22" t="s">
        <v>583</v>
      </c>
      <c r="D138" s="22" t="s">
        <v>1267</v>
      </c>
      <c r="E138" s="22" t="s">
        <v>1268</v>
      </c>
      <c r="F138" s="47" t="s">
        <v>1267</v>
      </c>
      <c r="G138" s="22" t="s">
        <v>1269</v>
      </c>
      <c r="H138" s="22">
        <v>13911674488</v>
      </c>
      <c r="I138" s="22" t="s">
        <v>828</v>
      </c>
      <c r="J138" s="23" t="s">
        <v>2158</v>
      </c>
      <c r="K138" s="23" t="s">
        <v>2165</v>
      </c>
    </row>
    <row r="139" spans="1:11" ht="25.5" customHeight="1">
      <c r="A139" s="54">
        <v>46029</v>
      </c>
      <c r="B139" s="22" t="s">
        <v>1256</v>
      </c>
      <c r="C139" s="22" t="s">
        <v>583</v>
      </c>
      <c r="D139" s="22" t="s">
        <v>1267</v>
      </c>
      <c r="E139" s="22" t="s">
        <v>1268</v>
      </c>
      <c r="F139" s="47" t="s">
        <v>1267</v>
      </c>
      <c r="G139" s="22" t="s">
        <v>1270</v>
      </c>
      <c r="H139" s="22">
        <v>13911674488</v>
      </c>
      <c r="I139" s="22" t="s">
        <v>828</v>
      </c>
      <c r="J139" s="23" t="s">
        <v>1271</v>
      </c>
      <c r="K139" s="23" t="s">
        <v>2165</v>
      </c>
    </row>
    <row r="140" spans="1:11" ht="25.5" customHeight="1">
      <c r="A140" s="6">
        <v>46029</v>
      </c>
      <c r="B140" s="5" t="s">
        <v>1256</v>
      </c>
      <c r="C140" s="5" t="s">
        <v>583</v>
      </c>
      <c r="D140" s="5" t="s">
        <v>1272</v>
      </c>
      <c r="E140" s="5" t="s">
        <v>1280</v>
      </c>
      <c r="G140" s="5" t="s">
        <v>1260</v>
      </c>
      <c r="H140" s="5">
        <v>17683272125</v>
      </c>
      <c r="I140" s="5" t="s">
        <v>1273</v>
      </c>
      <c r="K140" s="7" t="s">
        <v>1279</v>
      </c>
    </row>
    <row r="141" spans="1:11" ht="25.5" customHeight="1">
      <c r="A141" s="6">
        <v>46030</v>
      </c>
      <c r="B141" s="5" t="s">
        <v>1281</v>
      </c>
      <c r="C141" s="5" t="s">
        <v>583</v>
      </c>
      <c r="E141" s="5" t="s">
        <v>1286</v>
      </c>
      <c r="G141" s="5" t="s">
        <v>1287</v>
      </c>
      <c r="H141" s="5">
        <v>13990180129</v>
      </c>
      <c r="I141" s="5" t="s">
        <v>1288</v>
      </c>
      <c r="K141" s="7" t="s">
        <v>1289</v>
      </c>
    </row>
    <row r="142" spans="1:11" ht="25.5" customHeight="1">
      <c r="A142" s="54">
        <v>46030</v>
      </c>
      <c r="B142" s="22" t="s">
        <v>1281</v>
      </c>
      <c r="C142" s="22" t="s">
        <v>583</v>
      </c>
      <c r="D142" s="22" t="s">
        <v>1304</v>
      </c>
      <c r="E142" s="22" t="s">
        <v>1303</v>
      </c>
      <c r="F142" s="22" t="s">
        <v>1306</v>
      </c>
      <c r="G142" s="22" t="s">
        <v>1305</v>
      </c>
      <c r="H142" s="22">
        <v>19183632529</v>
      </c>
      <c r="I142" s="22" t="s">
        <v>1307</v>
      </c>
      <c r="J142" s="23" t="s">
        <v>1308</v>
      </c>
      <c r="K142" s="23" t="s">
        <v>2166</v>
      </c>
    </row>
    <row r="143" spans="1:11" ht="25.5" customHeight="1">
      <c r="A143" s="6">
        <v>46031</v>
      </c>
      <c r="B143" s="5" t="s">
        <v>1309</v>
      </c>
      <c r="C143" s="5" t="s">
        <v>583</v>
      </c>
      <c r="D143" s="5" t="s">
        <v>1310</v>
      </c>
      <c r="E143" s="5" t="s">
        <v>1311</v>
      </c>
      <c r="G143" s="5" t="s">
        <v>1312</v>
      </c>
      <c r="H143" s="5" t="s">
        <v>1313</v>
      </c>
      <c r="I143" s="5" t="s">
        <v>1314</v>
      </c>
      <c r="K143" s="7" t="s">
        <v>1315</v>
      </c>
    </row>
    <row r="144" spans="1:11" ht="25.5" customHeight="1">
      <c r="A144" s="6">
        <v>46031</v>
      </c>
      <c r="B144" s="5" t="s">
        <v>1309</v>
      </c>
      <c r="C144" s="5" t="s">
        <v>583</v>
      </c>
      <c r="D144" s="5" t="s">
        <v>1316</v>
      </c>
      <c r="E144" s="5" t="s">
        <v>1311</v>
      </c>
      <c r="G144" s="5" t="s">
        <v>1317</v>
      </c>
      <c r="H144" s="5" t="s">
        <v>1318</v>
      </c>
      <c r="I144" s="5" t="s">
        <v>1319</v>
      </c>
      <c r="K144" s="7" t="s">
        <v>1320</v>
      </c>
    </row>
    <row r="145" spans="1:11" ht="25.5" customHeight="1">
      <c r="A145" s="56">
        <v>46031</v>
      </c>
      <c r="B145" s="65" t="s">
        <v>1309</v>
      </c>
      <c r="C145" s="65" t="s">
        <v>1328</v>
      </c>
      <c r="D145" s="65" t="s">
        <v>1329</v>
      </c>
      <c r="E145" s="65" t="s">
        <v>1330</v>
      </c>
      <c r="F145" s="37" t="s">
        <v>1654</v>
      </c>
      <c r="G145" s="65" t="s">
        <v>1317</v>
      </c>
      <c r="H145" s="37">
        <v>13708121136</v>
      </c>
      <c r="I145" s="65" t="s">
        <v>1331</v>
      </c>
      <c r="J145" s="40" t="s">
        <v>1332</v>
      </c>
      <c r="K145" s="66" t="s">
        <v>1333</v>
      </c>
    </row>
    <row r="146" spans="1:11" ht="25.5" customHeight="1">
      <c r="A146" s="6">
        <v>46031</v>
      </c>
      <c r="B146" s="5" t="s">
        <v>1334</v>
      </c>
      <c r="C146" s="5" t="s">
        <v>583</v>
      </c>
      <c r="E146" s="5" t="s">
        <v>1335</v>
      </c>
      <c r="F146" s="5" t="s">
        <v>1337</v>
      </c>
      <c r="G146" s="5" t="s">
        <v>1336</v>
      </c>
      <c r="H146" s="5">
        <v>13281112129</v>
      </c>
      <c r="I146" s="5" t="s">
        <v>1338</v>
      </c>
      <c r="K146" s="7" t="s">
        <v>1289</v>
      </c>
    </row>
    <row r="147" spans="1:11" ht="25.5" customHeight="1">
      <c r="A147" s="6">
        <v>46032</v>
      </c>
      <c r="B147" s="5" t="s">
        <v>1340</v>
      </c>
      <c r="C147" s="5" t="s">
        <v>583</v>
      </c>
      <c r="D147" s="5" t="s">
        <v>1341</v>
      </c>
      <c r="E147" s="5" t="s">
        <v>1346</v>
      </c>
      <c r="G147" s="5" t="s">
        <v>1342</v>
      </c>
      <c r="H147" s="5" t="s">
        <v>1343</v>
      </c>
      <c r="I147" s="5" t="s">
        <v>1344</v>
      </c>
      <c r="J147" s="7" t="s">
        <v>1345</v>
      </c>
    </row>
    <row r="148" spans="1:11" ht="25.5" customHeight="1">
      <c r="A148" s="6">
        <v>46032</v>
      </c>
      <c r="B148" s="5" t="s">
        <v>1340</v>
      </c>
      <c r="C148" s="5" t="s">
        <v>583</v>
      </c>
      <c r="D148" s="5" t="s">
        <v>1351</v>
      </c>
      <c r="E148" s="5" t="s">
        <v>1346</v>
      </c>
      <c r="G148" s="5" t="s">
        <v>1352</v>
      </c>
      <c r="H148" s="5" t="s">
        <v>1353</v>
      </c>
      <c r="I148" s="5" t="s">
        <v>1354</v>
      </c>
      <c r="J148" s="7" t="s">
        <v>1345</v>
      </c>
    </row>
    <row r="149" spans="1:11" ht="25.5" customHeight="1">
      <c r="A149" s="6">
        <v>46032</v>
      </c>
      <c r="B149" s="5" t="s">
        <v>1379</v>
      </c>
      <c r="C149" s="5" t="s">
        <v>583</v>
      </c>
      <c r="D149" s="5" t="s">
        <v>1402</v>
      </c>
      <c r="E149" s="5" t="s">
        <v>1378</v>
      </c>
      <c r="F149" s="5" t="s">
        <v>1377</v>
      </c>
      <c r="G149" s="5" t="s">
        <v>1376</v>
      </c>
      <c r="H149" s="5">
        <v>19381106705</v>
      </c>
      <c r="I149" s="5" t="s">
        <v>1403</v>
      </c>
      <c r="J149" s="7" t="s">
        <v>1404</v>
      </c>
      <c r="K149" s="9" t="s">
        <v>1545</v>
      </c>
    </row>
    <row r="150" spans="1:11" ht="25.5" customHeight="1">
      <c r="A150" s="57">
        <v>46033</v>
      </c>
      <c r="B150" s="41" t="s">
        <v>1405</v>
      </c>
      <c r="C150" s="41" t="s">
        <v>583</v>
      </c>
      <c r="D150" s="41" t="s">
        <v>1406</v>
      </c>
      <c r="E150" s="41" t="s">
        <v>1407</v>
      </c>
      <c r="F150" s="41" t="s">
        <v>1408</v>
      </c>
      <c r="G150" s="41" t="s">
        <v>1409</v>
      </c>
      <c r="H150" s="41">
        <v>18990187887</v>
      </c>
      <c r="I150" s="41" t="s">
        <v>1410</v>
      </c>
      <c r="J150" s="42"/>
      <c r="K150" s="42" t="s">
        <v>1113</v>
      </c>
    </row>
    <row r="151" spans="1:11" ht="25.5" customHeight="1">
      <c r="A151" s="54">
        <v>46033</v>
      </c>
      <c r="B151" s="22" t="s">
        <v>1405</v>
      </c>
      <c r="C151" s="22" t="s">
        <v>583</v>
      </c>
      <c r="D151" s="22"/>
      <c r="E151" s="22" t="s">
        <v>1442</v>
      </c>
      <c r="F151" s="22"/>
      <c r="G151" s="22" t="s">
        <v>1415</v>
      </c>
      <c r="H151" s="22" t="s">
        <v>1416</v>
      </c>
      <c r="I151" s="22" t="s">
        <v>1417</v>
      </c>
      <c r="J151" s="23" t="s">
        <v>1418</v>
      </c>
      <c r="K151" s="23" t="s">
        <v>1419</v>
      </c>
    </row>
    <row r="152" spans="1:11" s="79" customFormat="1" ht="25.5" customHeight="1">
      <c r="A152" s="57">
        <v>46034</v>
      </c>
      <c r="B152" s="41" t="s">
        <v>1434</v>
      </c>
      <c r="C152" s="41" t="s">
        <v>583</v>
      </c>
      <c r="D152" s="41" t="s">
        <v>1441</v>
      </c>
      <c r="E152" s="41" t="s">
        <v>1443</v>
      </c>
      <c r="F152" s="41" t="s">
        <v>1444</v>
      </c>
      <c r="G152" s="41" t="s">
        <v>1440</v>
      </c>
      <c r="H152" s="41">
        <v>13541758728</v>
      </c>
      <c r="I152" s="41" t="s">
        <v>1445</v>
      </c>
      <c r="J152" s="42" t="s">
        <v>1639</v>
      </c>
      <c r="K152" s="42" t="s">
        <v>2159</v>
      </c>
    </row>
    <row r="153" spans="1:11" ht="25.5" customHeight="1">
      <c r="A153" s="59">
        <v>46034</v>
      </c>
      <c r="B153" s="61" t="s">
        <v>1434</v>
      </c>
      <c r="C153" s="61" t="s">
        <v>583</v>
      </c>
      <c r="D153" s="61"/>
      <c r="E153" s="61" t="s">
        <v>1448</v>
      </c>
      <c r="F153" s="61" t="s">
        <v>1449</v>
      </c>
      <c r="G153" s="61" t="s">
        <v>1450</v>
      </c>
      <c r="H153" s="61">
        <v>18048601553</v>
      </c>
      <c r="I153" s="61" t="s">
        <v>1451</v>
      </c>
      <c r="J153" s="72" t="s">
        <v>1452</v>
      </c>
      <c r="K153" s="72" t="s">
        <v>1546</v>
      </c>
    </row>
    <row r="154" spans="1:11" ht="25.5" customHeight="1">
      <c r="A154" s="6">
        <v>46034</v>
      </c>
      <c r="B154" s="5" t="s">
        <v>1457</v>
      </c>
      <c r="C154" s="5" t="s">
        <v>583</v>
      </c>
      <c r="D154" s="5" t="s">
        <v>1458</v>
      </c>
      <c r="E154" s="5" t="s">
        <v>1532</v>
      </c>
      <c r="G154" s="5" t="s">
        <v>1459</v>
      </c>
      <c r="H154" s="5" t="s">
        <v>1460</v>
      </c>
      <c r="I154" s="5" t="s">
        <v>1461</v>
      </c>
      <c r="K154" s="9" t="s">
        <v>1477</v>
      </c>
    </row>
    <row r="155" spans="1:11" ht="25.5" customHeight="1">
      <c r="A155" s="54">
        <v>46035</v>
      </c>
      <c r="B155" s="22" t="s">
        <v>1457</v>
      </c>
      <c r="C155" s="22" t="s">
        <v>583</v>
      </c>
      <c r="D155" s="22" t="s">
        <v>1462</v>
      </c>
      <c r="E155" s="22" t="s">
        <v>1463</v>
      </c>
      <c r="F155" s="22"/>
      <c r="G155" s="22" t="s">
        <v>1459</v>
      </c>
      <c r="H155" s="22">
        <v>18009073309</v>
      </c>
      <c r="I155" s="22" t="s">
        <v>1461</v>
      </c>
      <c r="J155" s="23" t="s">
        <v>1464</v>
      </c>
      <c r="K155" s="23"/>
    </row>
    <row r="156" spans="1:11" ht="25.5" customHeight="1">
      <c r="A156" s="6">
        <v>46035</v>
      </c>
      <c r="B156" s="5" t="s">
        <v>1457</v>
      </c>
      <c r="C156" s="5" t="s">
        <v>583</v>
      </c>
      <c r="D156" s="5" t="s">
        <v>1465</v>
      </c>
      <c r="E156" s="5" t="s">
        <v>1532</v>
      </c>
      <c r="G156" s="5" t="s">
        <v>1459</v>
      </c>
      <c r="H156" s="5" t="s">
        <v>1466</v>
      </c>
      <c r="I156" s="5" t="s">
        <v>1461</v>
      </c>
      <c r="K156" s="7" t="s">
        <v>1054</v>
      </c>
    </row>
    <row r="157" spans="1:11" ht="25.5" customHeight="1">
      <c r="A157" s="6">
        <v>46035</v>
      </c>
      <c r="B157" s="5" t="s">
        <v>1457</v>
      </c>
      <c r="C157" s="5" t="s">
        <v>583</v>
      </c>
      <c r="D157" s="5" t="s">
        <v>1467</v>
      </c>
      <c r="E157" s="5" t="s">
        <v>1463</v>
      </c>
      <c r="G157" s="5" t="s">
        <v>1459</v>
      </c>
      <c r="H157" s="5">
        <v>13608118155</v>
      </c>
      <c r="I157" s="5" t="s">
        <v>1468</v>
      </c>
      <c r="J157" s="7" t="s">
        <v>1469</v>
      </c>
      <c r="K157" s="9" t="s">
        <v>1556</v>
      </c>
    </row>
    <row r="158" spans="1:11" ht="25.5" customHeight="1">
      <c r="A158" s="6">
        <v>46035</v>
      </c>
      <c r="B158" s="5" t="s">
        <v>1457</v>
      </c>
      <c r="C158" s="5" t="s">
        <v>583</v>
      </c>
      <c r="D158" s="5" t="s">
        <v>1470</v>
      </c>
      <c r="E158" s="5" t="s">
        <v>1471</v>
      </c>
      <c r="G158" s="5" t="s">
        <v>1459</v>
      </c>
      <c r="H158" s="5" t="s">
        <v>1472</v>
      </c>
      <c r="I158" s="5" t="s">
        <v>1461</v>
      </c>
      <c r="K158" s="7" t="s">
        <v>1473</v>
      </c>
    </row>
    <row r="159" spans="1:11" ht="25.5" customHeight="1">
      <c r="A159" s="6">
        <v>46035</v>
      </c>
      <c r="B159" s="5" t="s">
        <v>1457</v>
      </c>
      <c r="C159" s="5" t="s">
        <v>583</v>
      </c>
      <c r="D159" s="5" t="s">
        <v>1474</v>
      </c>
      <c r="E159" s="5" t="s">
        <v>1471</v>
      </c>
      <c r="G159" s="5" t="s">
        <v>1475</v>
      </c>
      <c r="H159" s="5" t="s">
        <v>1476</v>
      </c>
      <c r="I159" s="5" t="s">
        <v>1073</v>
      </c>
      <c r="K159" s="7" t="s">
        <v>1477</v>
      </c>
    </row>
    <row r="160" spans="1:11" ht="25.5" customHeight="1">
      <c r="A160" s="6">
        <v>46035</v>
      </c>
      <c r="B160" s="5" t="s">
        <v>1512</v>
      </c>
      <c r="C160" s="5" t="s">
        <v>583</v>
      </c>
      <c r="D160" s="5" t="s">
        <v>1529</v>
      </c>
      <c r="E160" s="5" t="s">
        <v>1513</v>
      </c>
      <c r="G160" s="5" t="s">
        <v>1503</v>
      </c>
      <c r="H160" s="5">
        <v>18398412578</v>
      </c>
      <c r="I160" s="5" t="s">
        <v>1530</v>
      </c>
      <c r="J160" s="7" t="s">
        <v>1531</v>
      </c>
      <c r="K160" s="9" t="s">
        <v>1557</v>
      </c>
    </row>
    <row r="161" spans="1:11" ht="25.5" customHeight="1">
      <c r="A161" s="6">
        <v>46036</v>
      </c>
      <c r="B161" s="5" t="s">
        <v>1512</v>
      </c>
      <c r="C161" s="5" t="s">
        <v>583</v>
      </c>
      <c r="D161" s="5" t="s">
        <v>1526</v>
      </c>
      <c r="E161" s="5" t="s">
        <v>1532</v>
      </c>
      <c r="G161" s="5" t="s">
        <v>1503</v>
      </c>
      <c r="H161" s="5" t="s">
        <v>1527</v>
      </c>
      <c r="I161" s="5" t="s">
        <v>1525</v>
      </c>
      <c r="K161" s="7" t="s">
        <v>1528</v>
      </c>
    </row>
    <row r="162" spans="1:11" ht="25.5" customHeight="1">
      <c r="A162" s="59">
        <v>46036</v>
      </c>
      <c r="B162" s="61" t="s">
        <v>1512</v>
      </c>
      <c r="C162" s="61" t="s">
        <v>583</v>
      </c>
      <c r="D162" s="61"/>
      <c r="E162" s="61" t="s">
        <v>1513</v>
      </c>
      <c r="F162" s="61" t="s">
        <v>1729</v>
      </c>
      <c r="G162" s="61" t="s">
        <v>1499</v>
      </c>
      <c r="H162" s="61">
        <v>13981192552</v>
      </c>
      <c r="I162" s="61" t="s">
        <v>1514</v>
      </c>
      <c r="J162" s="72" t="s">
        <v>1515</v>
      </c>
      <c r="K162" s="72" t="s">
        <v>1544</v>
      </c>
    </row>
    <row r="163" spans="1:11" ht="25.5" customHeight="1">
      <c r="A163" s="6">
        <v>46036</v>
      </c>
      <c r="B163" s="5" t="s">
        <v>1512</v>
      </c>
      <c r="C163" s="5" t="s">
        <v>1516</v>
      </c>
      <c r="D163" s="5" t="s">
        <v>1517</v>
      </c>
      <c r="E163" s="5" t="s">
        <v>1542</v>
      </c>
      <c r="G163" s="5" t="s">
        <v>1499</v>
      </c>
      <c r="H163" s="5" t="s">
        <v>1518</v>
      </c>
      <c r="I163" s="5" t="s">
        <v>1519</v>
      </c>
      <c r="K163" s="7" t="s">
        <v>1543</v>
      </c>
    </row>
    <row r="164" spans="1:11" ht="25.5" customHeight="1">
      <c r="A164" s="6">
        <v>46036</v>
      </c>
      <c r="B164" s="5" t="s">
        <v>1512</v>
      </c>
      <c r="C164" s="5" t="s">
        <v>583</v>
      </c>
      <c r="D164" s="5" t="s">
        <v>1520</v>
      </c>
      <c r="E164" s="5" t="s">
        <v>1513</v>
      </c>
      <c r="F164" s="39" t="s">
        <v>1520</v>
      </c>
      <c r="G164" s="5" t="s">
        <v>1499</v>
      </c>
      <c r="H164" s="5">
        <v>13778095585</v>
      </c>
      <c r="I164" s="5" t="s">
        <v>1521</v>
      </c>
      <c r="J164" s="7" t="s">
        <v>1522</v>
      </c>
      <c r="K164" s="7" t="s">
        <v>1533</v>
      </c>
    </row>
    <row r="165" spans="1:11" ht="25.5" customHeight="1">
      <c r="A165" s="6">
        <v>46036</v>
      </c>
      <c r="B165" s="5" t="s">
        <v>1512</v>
      </c>
      <c r="C165" s="5" t="s">
        <v>583</v>
      </c>
      <c r="E165" s="5" t="s">
        <v>1542</v>
      </c>
      <c r="G165" s="5" t="s">
        <v>1523</v>
      </c>
      <c r="H165" s="5" t="s">
        <v>1524</v>
      </c>
      <c r="I165" s="5" t="s">
        <v>1525</v>
      </c>
      <c r="K165" s="7" t="s">
        <v>1054</v>
      </c>
    </row>
    <row r="166" spans="1:11" ht="25.5" customHeight="1">
      <c r="A166" s="6">
        <v>46037</v>
      </c>
      <c r="B166" s="5" t="s">
        <v>1512</v>
      </c>
      <c r="C166" s="25" t="s">
        <v>591</v>
      </c>
      <c r="D166" s="25" t="s">
        <v>1558</v>
      </c>
      <c r="E166" s="25" t="s">
        <v>1542</v>
      </c>
      <c r="G166" s="25" t="s">
        <v>1559</v>
      </c>
      <c r="H166" s="5">
        <v>18281986520</v>
      </c>
      <c r="I166" s="25" t="s">
        <v>1560</v>
      </c>
      <c r="J166" s="9" t="s">
        <v>1561</v>
      </c>
      <c r="K166" s="9" t="s">
        <v>2160</v>
      </c>
    </row>
    <row r="167" spans="1:11" ht="25.5" customHeight="1">
      <c r="A167" s="6">
        <v>46037</v>
      </c>
      <c r="B167" s="5" t="s">
        <v>1512</v>
      </c>
      <c r="C167" s="5" t="s">
        <v>591</v>
      </c>
      <c r="D167" s="5" t="s">
        <v>1562</v>
      </c>
      <c r="E167" s="25" t="s">
        <v>1154</v>
      </c>
      <c r="G167" s="5" t="s">
        <v>1563</v>
      </c>
      <c r="H167" s="5" t="s">
        <v>1564</v>
      </c>
      <c r="I167" s="5" t="s">
        <v>1565</v>
      </c>
    </row>
    <row r="168" spans="1:11" ht="25.5" customHeight="1">
      <c r="A168" s="6">
        <v>46037</v>
      </c>
      <c r="B168" s="5" t="s">
        <v>1569</v>
      </c>
      <c r="C168" s="5" t="s">
        <v>591</v>
      </c>
      <c r="D168" s="5" t="s">
        <v>1566</v>
      </c>
      <c r="E168" s="25" t="s">
        <v>1154</v>
      </c>
      <c r="G168" s="5" t="s">
        <v>1567</v>
      </c>
      <c r="H168" s="5" t="s">
        <v>1568</v>
      </c>
      <c r="I168" s="5" t="s">
        <v>1565</v>
      </c>
    </row>
    <row r="169" spans="1:11" ht="25.5" customHeight="1">
      <c r="A169" s="6">
        <v>46037</v>
      </c>
      <c r="B169" s="5" t="s">
        <v>1569</v>
      </c>
      <c r="C169" s="5" t="s">
        <v>527</v>
      </c>
      <c r="E169" s="25" t="s">
        <v>1152</v>
      </c>
      <c r="F169" s="5" t="s">
        <v>1576</v>
      </c>
      <c r="G169" s="5" t="s">
        <v>1574</v>
      </c>
      <c r="H169" s="5">
        <v>17340147691</v>
      </c>
      <c r="I169" s="5" t="s">
        <v>1565</v>
      </c>
      <c r="J169" s="7" t="s">
        <v>1575</v>
      </c>
      <c r="K169" s="7" t="s">
        <v>1626</v>
      </c>
    </row>
    <row r="170" spans="1:11" ht="25.5" customHeight="1">
      <c r="A170" s="6">
        <v>46037</v>
      </c>
      <c r="B170" s="5" t="s">
        <v>1569</v>
      </c>
      <c r="C170" s="5" t="s">
        <v>591</v>
      </c>
      <c r="D170" s="5" t="s">
        <v>1577</v>
      </c>
      <c r="E170" s="25" t="s">
        <v>1154</v>
      </c>
      <c r="G170" s="5" t="s">
        <v>1578</v>
      </c>
      <c r="H170" s="5" t="s">
        <v>1579</v>
      </c>
      <c r="I170" s="5" t="s">
        <v>1580</v>
      </c>
      <c r="K170" s="7" t="s">
        <v>1581</v>
      </c>
    </row>
    <row r="171" spans="1:11" ht="25.5" customHeight="1">
      <c r="A171" s="6">
        <v>46038</v>
      </c>
      <c r="B171" s="5" t="s">
        <v>1587</v>
      </c>
      <c r="C171" s="5" t="s">
        <v>591</v>
      </c>
      <c r="D171" s="5" t="s">
        <v>1589</v>
      </c>
      <c r="E171" s="5" t="s">
        <v>1216</v>
      </c>
      <c r="G171" s="5" t="s">
        <v>1590</v>
      </c>
      <c r="H171" s="5">
        <v>18030947378</v>
      </c>
      <c r="I171" s="5" t="s">
        <v>1591</v>
      </c>
      <c r="K171" s="7" t="s">
        <v>765</v>
      </c>
    </row>
    <row r="172" spans="1:11" ht="25.5" customHeight="1">
      <c r="A172" s="6">
        <v>46038</v>
      </c>
      <c r="B172" s="5" t="s">
        <v>1587</v>
      </c>
      <c r="C172" s="5" t="s">
        <v>591</v>
      </c>
      <c r="D172" s="5" t="s">
        <v>1592</v>
      </c>
      <c r="E172" s="25" t="s">
        <v>1625</v>
      </c>
      <c r="G172" s="5" t="s">
        <v>1590</v>
      </c>
      <c r="H172" s="5" t="s">
        <v>1593</v>
      </c>
      <c r="I172" s="5" t="s">
        <v>1591</v>
      </c>
      <c r="K172" s="7" t="s">
        <v>1594</v>
      </c>
    </row>
    <row r="173" spans="1:11" ht="25.5" customHeight="1">
      <c r="A173" s="6">
        <v>46038</v>
      </c>
      <c r="B173" s="5" t="s">
        <v>1587</v>
      </c>
      <c r="C173" s="5" t="s">
        <v>591</v>
      </c>
      <c r="D173" s="5" t="s">
        <v>1599</v>
      </c>
      <c r="E173" s="5" t="s">
        <v>1600</v>
      </c>
      <c r="G173" s="5" t="s">
        <v>1601</v>
      </c>
      <c r="H173" s="5">
        <v>15808168918</v>
      </c>
      <c r="I173" s="5" t="s">
        <v>1591</v>
      </c>
      <c r="J173" s="7" t="s">
        <v>1602</v>
      </c>
    </row>
    <row r="174" spans="1:11" ht="25.5" customHeight="1">
      <c r="A174" s="54">
        <v>46039</v>
      </c>
      <c r="B174" s="22" t="s">
        <v>1607</v>
      </c>
      <c r="C174" s="22" t="s">
        <v>591</v>
      </c>
      <c r="D174" s="22" t="s">
        <v>1609</v>
      </c>
      <c r="E174" s="22" t="s">
        <v>1610</v>
      </c>
      <c r="F174" s="22" t="s">
        <v>1612</v>
      </c>
      <c r="G174" s="22" t="s">
        <v>1611</v>
      </c>
      <c r="H174" s="22">
        <v>13708112009</v>
      </c>
      <c r="I174" s="22" t="s">
        <v>1613</v>
      </c>
      <c r="J174" s="23" t="s">
        <v>1614</v>
      </c>
      <c r="K174" s="64" t="s">
        <v>1615</v>
      </c>
    </row>
    <row r="175" spans="1:11" ht="25.5" customHeight="1">
      <c r="A175" s="6">
        <v>46039</v>
      </c>
      <c r="B175" s="25" t="s">
        <v>1607</v>
      </c>
      <c r="C175" s="25" t="s">
        <v>591</v>
      </c>
      <c r="D175" s="25" t="s">
        <v>1616</v>
      </c>
      <c r="E175" s="25" t="s">
        <v>1617</v>
      </c>
      <c r="G175" s="25" t="s">
        <v>1618</v>
      </c>
      <c r="H175" s="25" t="s">
        <v>1619</v>
      </c>
      <c r="K175" s="9" t="s">
        <v>1620</v>
      </c>
    </row>
    <row r="176" spans="1:11" ht="25.5" customHeight="1">
      <c r="A176" s="6">
        <v>46039</v>
      </c>
      <c r="B176" s="25" t="s">
        <v>1607</v>
      </c>
      <c r="C176" s="25" t="s">
        <v>591</v>
      </c>
      <c r="D176" s="25" t="s">
        <v>1621</v>
      </c>
      <c r="E176" s="25" t="s">
        <v>1625</v>
      </c>
      <c r="G176" s="25" t="s">
        <v>1611</v>
      </c>
      <c r="H176" s="25" t="s">
        <v>1622</v>
      </c>
      <c r="I176" s="25" t="s">
        <v>1623</v>
      </c>
      <c r="K176" s="9" t="s">
        <v>1624</v>
      </c>
    </row>
    <row r="177" spans="1:11" ht="25.5" customHeight="1">
      <c r="A177" s="6">
        <v>46039</v>
      </c>
      <c r="B177" s="25" t="s">
        <v>1607</v>
      </c>
      <c r="C177" s="25" t="s">
        <v>591</v>
      </c>
      <c r="D177" s="5" t="s">
        <v>1627</v>
      </c>
      <c r="E177" s="5" t="s">
        <v>1628</v>
      </c>
      <c r="F177" s="5" t="s">
        <v>1629</v>
      </c>
      <c r="G177" s="25" t="s">
        <v>1611</v>
      </c>
      <c r="H177" s="5">
        <v>15881626666</v>
      </c>
      <c r="I177" s="5" t="s">
        <v>1630</v>
      </c>
      <c r="J177" s="7" t="s">
        <v>1631</v>
      </c>
      <c r="K177" s="7" t="s">
        <v>1642</v>
      </c>
    </row>
    <row r="178" spans="1:11" ht="25.5" customHeight="1">
      <c r="A178" s="6">
        <v>46039</v>
      </c>
      <c r="B178" s="5" t="s">
        <v>1632</v>
      </c>
      <c r="C178" s="5" t="s">
        <v>591</v>
      </c>
      <c r="D178" s="5" t="s">
        <v>1633</v>
      </c>
      <c r="E178" s="5" t="s">
        <v>1628</v>
      </c>
      <c r="G178" s="5" t="s">
        <v>1634</v>
      </c>
      <c r="H178" s="5">
        <v>18380539520</v>
      </c>
      <c r="I178" s="5" t="s">
        <v>1635</v>
      </c>
      <c r="J178" s="7" t="s">
        <v>1641</v>
      </c>
      <c r="K178" s="7" t="s">
        <v>2161</v>
      </c>
    </row>
    <row r="179" spans="1:11" ht="25.5" customHeight="1">
      <c r="A179" s="6">
        <v>46041</v>
      </c>
      <c r="B179" s="5" t="s">
        <v>582</v>
      </c>
      <c r="C179" s="5" t="s">
        <v>774</v>
      </c>
      <c r="D179" s="5" t="s">
        <v>1650</v>
      </c>
      <c r="E179" s="5" t="s">
        <v>1651</v>
      </c>
      <c r="F179" s="39" t="s">
        <v>1650</v>
      </c>
      <c r="G179" s="5" t="s">
        <v>1648</v>
      </c>
      <c r="H179" s="5">
        <v>13890162048</v>
      </c>
      <c r="I179" s="5" t="s">
        <v>1652</v>
      </c>
      <c r="J179" s="7" t="s">
        <v>1653</v>
      </c>
      <c r="K179" s="7" t="s">
        <v>2167</v>
      </c>
    </row>
    <row r="180" spans="1:11" ht="25.5" customHeight="1">
      <c r="A180" s="6">
        <v>46041</v>
      </c>
      <c r="B180" s="5" t="s">
        <v>582</v>
      </c>
      <c r="C180" s="5" t="s">
        <v>591</v>
      </c>
      <c r="E180" s="5" t="s">
        <v>1671</v>
      </c>
      <c r="G180" s="5" t="s">
        <v>1643</v>
      </c>
      <c r="H180" s="5" t="s">
        <v>1644</v>
      </c>
      <c r="I180" s="5" t="s">
        <v>1645</v>
      </c>
      <c r="K180" s="7" t="s">
        <v>1646</v>
      </c>
    </row>
    <row r="181" spans="1:11" ht="25.5" customHeight="1">
      <c r="A181" s="6">
        <v>46041</v>
      </c>
      <c r="B181" s="5" t="s">
        <v>582</v>
      </c>
      <c r="C181" s="5" t="s">
        <v>591</v>
      </c>
      <c r="D181" s="5" t="s">
        <v>1647</v>
      </c>
      <c r="E181" s="5" t="s">
        <v>1671</v>
      </c>
      <c r="G181" s="5" t="s">
        <v>1648</v>
      </c>
      <c r="H181" s="5" t="s">
        <v>1649</v>
      </c>
      <c r="I181" s="5" t="s">
        <v>1645</v>
      </c>
      <c r="K181" s="7" t="s">
        <v>1646</v>
      </c>
    </row>
    <row r="182" spans="1:11" ht="25.5" customHeight="1">
      <c r="A182" s="6">
        <v>46041</v>
      </c>
      <c r="B182" s="5" t="s">
        <v>582</v>
      </c>
      <c r="C182" s="5" t="s">
        <v>591</v>
      </c>
      <c r="D182" s="5" t="s">
        <v>1655</v>
      </c>
      <c r="E182" s="5" t="s">
        <v>1671</v>
      </c>
      <c r="G182" s="5" t="s">
        <v>1648</v>
      </c>
      <c r="H182" s="5" t="s">
        <v>1656</v>
      </c>
      <c r="I182" s="5" t="s">
        <v>1645</v>
      </c>
      <c r="K182" s="7" t="s">
        <v>1602</v>
      </c>
    </row>
    <row r="183" spans="1:11" ht="25.5" customHeight="1">
      <c r="A183" s="6">
        <v>46041</v>
      </c>
      <c r="B183" s="5" t="s">
        <v>582</v>
      </c>
      <c r="C183" s="5" t="s">
        <v>591</v>
      </c>
      <c r="D183" s="5" t="s">
        <v>1657</v>
      </c>
      <c r="E183" s="5" t="s">
        <v>1154</v>
      </c>
      <c r="G183" s="5" t="s">
        <v>1643</v>
      </c>
      <c r="H183" s="5">
        <v>18161003826</v>
      </c>
      <c r="I183" s="5" t="s">
        <v>1658</v>
      </c>
      <c r="J183" s="7" t="s">
        <v>1659</v>
      </c>
      <c r="K183" s="7" t="s">
        <v>1680</v>
      </c>
    </row>
    <row r="184" spans="1:11" ht="25.5" customHeight="1">
      <c r="A184" s="6">
        <v>46041</v>
      </c>
      <c r="B184" s="5" t="s">
        <v>1662</v>
      </c>
      <c r="C184" s="5" t="s">
        <v>591</v>
      </c>
      <c r="D184" s="5" t="s">
        <v>1664</v>
      </c>
      <c r="E184" s="5" t="s">
        <v>1671</v>
      </c>
      <c r="G184" s="5" t="s">
        <v>134</v>
      </c>
      <c r="H184" s="5">
        <v>13548439909</v>
      </c>
      <c r="I184" s="5" t="s">
        <v>1663</v>
      </c>
      <c r="J184" s="7" t="s">
        <v>1668</v>
      </c>
      <c r="K184" s="7" t="s">
        <v>1669</v>
      </c>
    </row>
    <row r="185" spans="1:11" ht="25.5" customHeight="1">
      <c r="A185" s="6">
        <v>46041</v>
      </c>
      <c r="B185" s="5" t="s">
        <v>1675</v>
      </c>
      <c r="C185" s="5" t="s">
        <v>591</v>
      </c>
      <c r="D185" s="5" t="s">
        <v>1670</v>
      </c>
      <c r="E185" s="5" t="s">
        <v>1671</v>
      </c>
      <c r="G185" s="5" t="s">
        <v>1672</v>
      </c>
      <c r="H185" s="5" t="s">
        <v>1673</v>
      </c>
      <c r="I185" s="5" t="s">
        <v>1674</v>
      </c>
      <c r="K185" s="7" t="s">
        <v>1054</v>
      </c>
    </row>
    <row r="186" spans="1:11" ht="25.5" customHeight="1">
      <c r="A186" s="6">
        <v>46042</v>
      </c>
      <c r="B186" s="5" t="s">
        <v>1675</v>
      </c>
      <c r="C186" s="5" t="s">
        <v>591</v>
      </c>
      <c r="D186" s="5" t="s">
        <v>1676</v>
      </c>
      <c r="E186" s="5" t="s">
        <v>1671</v>
      </c>
      <c r="G186" s="5" t="s">
        <v>1677</v>
      </c>
      <c r="H186" s="5" t="s">
        <v>1678</v>
      </c>
      <c r="I186" s="5" t="s">
        <v>1679</v>
      </c>
      <c r="K186" s="7" t="s">
        <v>1054</v>
      </c>
    </row>
    <row r="187" spans="1:11" ht="25.5" customHeight="1">
      <c r="A187" s="6">
        <v>46042</v>
      </c>
      <c r="B187" s="5" t="s">
        <v>1681</v>
      </c>
      <c r="C187" s="5" t="s">
        <v>591</v>
      </c>
      <c r="E187" s="5" t="s">
        <v>1682</v>
      </c>
      <c r="G187" s="5" t="s">
        <v>1683</v>
      </c>
      <c r="H187" s="5" t="s">
        <v>1684</v>
      </c>
      <c r="I187" s="5" t="s">
        <v>1685</v>
      </c>
      <c r="K187" s="7" t="s">
        <v>1289</v>
      </c>
    </row>
    <row r="188" spans="1:11" ht="25.5" customHeight="1">
      <c r="A188" s="6">
        <v>46042</v>
      </c>
      <c r="B188" s="5" t="s">
        <v>1681</v>
      </c>
      <c r="C188" s="5" t="s">
        <v>591</v>
      </c>
      <c r="D188" s="5" t="s">
        <v>1686</v>
      </c>
      <c r="E188" s="5" t="s">
        <v>1682</v>
      </c>
      <c r="G188" s="5" t="s">
        <v>1683</v>
      </c>
      <c r="H188" s="5" t="s">
        <v>1687</v>
      </c>
      <c r="I188" s="5" t="s">
        <v>1685</v>
      </c>
      <c r="K188" s="7" t="s">
        <v>765</v>
      </c>
    </row>
    <row r="189" spans="1:11" ht="25.5" customHeight="1">
      <c r="A189" s="6">
        <v>46042</v>
      </c>
      <c r="B189" s="5" t="s">
        <v>1681</v>
      </c>
      <c r="C189" s="5" t="s">
        <v>591</v>
      </c>
      <c r="D189" s="5" t="s">
        <v>1689</v>
      </c>
      <c r="E189" s="5" t="s">
        <v>1158</v>
      </c>
      <c r="G189" s="5" t="s">
        <v>1690</v>
      </c>
      <c r="H189" s="5">
        <v>18380577862</v>
      </c>
      <c r="I189" s="5" t="s">
        <v>1691</v>
      </c>
      <c r="J189" s="7" t="s">
        <v>1692</v>
      </c>
      <c r="K189" s="7" t="s">
        <v>2168</v>
      </c>
    </row>
    <row r="190" spans="1:11" ht="25.5" customHeight="1">
      <c r="A190" s="6">
        <v>46042</v>
      </c>
      <c r="B190" s="5" t="s">
        <v>1693</v>
      </c>
      <c r="C190" s="5" t="s">
        <v>591</v>
      </c>
      <c r="D190" s="5" t="s">
        <v>1694</v>
      </c>
      <c r="E190" s="5" t="s">
        <v>1695</v>
      </c>
      <c r="G190" s="5" t="s">
        <v>1696</v>
      </c>
      <c r="H190" s="5">
        <v>17606969976</v>
      </c>
      <c r="I190" s="5" t="s">
        <v>1697</v>
      </c>
      <c r="J190" s="7" t="s">
        <v>1698</v>
      </c>
      <c r="K190" s="7" t="s">
        <v>1720</v>
      </c>
    </row>
    <row r="191" spans="1:11" ht="25.5" customHeight="1">
      <c r="A191" s="6">
        <v>46043</v>
      </c>
      <c r="B191" s="5" t="s">
        <v>1699</v>
      </c>
      <c r="C191" s="5" t="s">
        <v>591</v>
      </c>
      <c r="E191" s="5" t="s">
        <v>1705</v>
      </c>
      <c r="F191" s="5" t="s">
        <v>1706</v>
      </c>
      <c r="G191" s="5" t="s">
        <v>1704</v>
      </c>
      <c r="H191" s="5">
        <v>13281576080</v>
      </c>
      <c r="I191" s="5" t="s">
        <v>1707</v>
      </c>
      <c r="J191" s="7" t="s">
        <v>1708</v>
      </c>
      <c r="K191" s="7" t="s">
        <v>1824</v>
      </c>
    </row>
    <row r="192" spans="1:11" ht="25.5" customHeight="1">
      <c r="A192" s="6">
        <v>46043</v>
      </c>
      <c r="B192" s="5" t="s">
        <v>1699</v>
      </c>
      <c r="C192" s="5" t="s">
        <v>591</v>
      </c>
      <c r="D192" s="5" t="s">
        <v>1709</v>
      </c>
      <c r="E192" s="5" t="s">
        <v>1152</v>
      </c>
      <c r="F192" s="5" t="s">
        <v>1710</v>
      </c>
      <c r="G192" s="5" t="s">
        <v>1711</v>
      </c>
      <c r="H192" s="5">
        <v>15390257212</v>
      </c>
      <c r="I192" s="5" t="s">
        <v>1712</v>
      </c>
      <c r="J192" s="7" t="s">
        <v>1713</v>
      </c>
      <c r="K192" s="7" t="s">
        <v>2169</v>
      </c>
    </row>
    <row r="193" spans="1:11" ht="25.5" customHeight="1">
      <c r="A193" s="6">
        <v>46043</v>
      </c>
      <c r="B193" s="5" t="s">
        <v>1714</v>
      </c>
      <c r="C193" s="5" t="s">
        <v>591</v>
      </c>
      <c r="D193" s="5" t="s">
        <v>1715</v>
      </c>
      <c r="E193" s="5" t="s">
        <v>1154</v>
      </c>
      <c r="G193" s="5" t="s">
        <v>1717</v>
      </c>
      <c r="H193" s="5" t="s">
        <v>1716</v>
      </c>
      <c r="I193" s="5" t="s">
        <v>1718</v>
      </c>
      <c r="K193" s="7" t="s">
        <v>1719</v>
      </c>
    </row>
    <row r="194" spans="1:11" ht="25.5" customHeight="1">
      <c r="A194" s="6">
        <v>46044</v>
      </c>
      <c r="B194" s="5" t="s">
        <v>1721</v>
      </c>
      <c r="C194" s="5" t="s">
        <v>591</v>
      </c>
      <c r="E194" s="5" t="s">
        <v>1154</v>
      </c>
      <c r="G194" s="5" t="s">
        <v>1727</v>
      </c>
      <c r="H194" s="5" t="s">
        <v>1726</v>
      </c>
      <c r="I194" s="5" t="s">
        <v>1728</v>
      </c>
      <c r="K194" s="7" t="s">
        <v>570</v>
      </c>
    </row>
    <row r="195" spans="1:11" ht="25.5" customHeight="1">
      <c r="A195" s="6">
        <v>46044</v>
      </c>
      <c r="B195" s="5" t="s">
        <v>1730</v>
      </c>
      <c r="C195" s="5" t="s">
        <v>591</v>
      </c>
      <c r="E195" s="5" t="s">
        <v>1216</v>
      </c>
      <c r="G195" s="5" t="s">
        <v>1731</v>
      </c>
      <c r="H195" s="5" t="s">
        <v>1732</v>
      </c>
      <c r="I195" s="5" t="s">
        <v>1733</v>
      </c>
      <c r="K195" s="7" t="s">
        <v>1734</v>
      </c>
    </row>
    <row r="196" spans="1:11" ht="25.5" customHeight="1">
      <c r="A196" s="6">
        <v>46044</v>
      </c>
      <c r="B196" s="5" t="s">
        <v>1730</v>
      </c>
      <c r="C196" s="5" t="s">
        <v>591</v>
      </c>
      <c r="D196" s="5" t="s">
        <v>1736</v>
      </c>
      <c r="E196" s="5" t="s">
        <v>1735</v>
      </c>
      <c r="G196" s="5" t="s">
        <v>1731</v>
      </c>
      <c r="H196" s="5">
        <v>13558997241</v>
      </c>
      <c r="I196" s="5" t="s">
        <v>1733</v>
      </c>
      <c r="K196" s="7" t="s">
        <v>765</v>
      </c>
    </row>
    <row r="197" spans="1:11" ht="25.5" customHeight="1">
      <c r="A197" s="6">
        <v>46045</v>
      </c>
      <c r="B197" s="5" t="s">
        <v>1765</v>
      </c>
      <c r="C197" s="5" t="s">
        <v>591</v>
      </c>
      <c r="E197" s="5" t="s">
        <v>1766</v>
      </c>
      <c r="G197" s="5" t="s">
        <v>1743</v>
      </c>
      <c r="H197" s="5">
        <v>13981794383</v>
      </c>
      <c r="I197" s="5" t="s">
        <v>1767</v>
      </c>
      <c r="J197" s="7" t="s">
        <v>1768</v>
      </c>
      <c r="K197" s="7" t="s">
        <v>2171</v>
      </c>
    </row>
    <row r="198" spans="1:11" ht="25.5" customHeight="1">
      <c r="A198" s="6">
        <v>46045</v>
      </c>
      <c r="B198" s="5" t="s">
        <v>1765</v>
      </c>
      <c r="C198" s="5" t="s">
        <v>591</v>
      </c>
      <c r="D198" s="5" t="s">
        <v>1773</v>
      </c>
      <c r="E198" s="5" t="s">
        <v>1771</v>
      </c>
      <c r="G198" s="5" t="s">
        <v>1755</v>
      </c>
      <c r="H198" s="5" t="s">
        <v>1772</v>
      </c>
      <c r="I198" s="5" t="s">
        <v>1769</v>
      </c>
      <c r="K198" s="7" t="s">
        <v>1770</v>
      </c>
    </row>
    <row r="199" spans="1:11" ht="25.5" customHeight="1">
      <c r="A199" s="59">
        <v>46045</v>
      </c>
      <c r="B199" s="61" t="s">
        <v>1765</v>
      </c>
      <c r="C199" s="61" t="s">
        <v>591</v>
      </c>
      <c r="D199" s="61" t="s">
        <v>1774</v>
      </c>
      <c r="E199" s="61" t="s">
        <v>1766</v>
      </c>
      <c r="F199" s="61"/>
      <c r="G199" s="61" t="s">
        <v>1775</v>
      </c>
      <c r="H199" s="61">
        <v>18280337371</v>
      </c>
      <c r="I199" s="61" t="s">
        <v>1769</v>
      </c>
      <c r="J199" s="72" t="s">
        <v>1776</v>
      </c>
      <c r="K199" s="72" t="s">
        <v>2170</v>
      </c>
    </row>
    <row r="200" spans="1:11" ht="25.5" customHeight="1">
      <c r="A200" s="6">
        <v>46045</v>
      </c>
      <c r="B200" s="5" t="s">
        <v>1765</v>
      </c>
      <c r="C200" s="5" t="s">
        <v>591</v>
      </c>
      <c r="D200" s="5" t="s">
        <v>1777</v>
      </c>
      <c r="E200" s="5" t="s">
        <v>1778</v>
      </c>
      <c r="G200" s="5" t="s">
        <v>1743</v>
      </c>
      <c r="H200" s="5">
        <v>13990127572</v>
      </c>
      <c r="I200" s="5" t="s">
        <v>1769</v>
      </c>
      <c r="J200" s="7" t="s">
        <v>1779</v>
      </c>
      <c r="K200" s="7" t="s">
        <v>1121</v>
      </c>
    </row>
    <row r="201" spans="1:11" ht="25.5" customHeight="1">
      <c r="A201" s="6">
        <v>46046</v>
      </c>
      <c r="B201" s="5" t="s">
        <v>546</v>
      </c>
      <c r="C201" s="5" t="s">
        <v>583</v>
      </c>
      <c r="E201" s="5" t="s">
        <v>1811</v>
      </c>
      <c r="G201" s="5" t="s">
        <v>1804</v>
      </c>
      <c r="H201" s="5" t="s">
        <v>1805</v>
      </c>
      <c r="I201" s="5" t="s">
        <v>1797</v>
      </c>
      <c r="J201" s="7" t="s">
        <v>1806</v>
      </c>
    </row>
    <row r="202" spans="1:11" ht="25.5" customHeight="1">
      <c r="A202" s="6">
        <v>46046</v>
      </c>
      <c r="B202" s="5" t="s">
        <v>546</v>
      </c>
      <c r="C202" s="5" t="s">
        <v>583</v>
      </c>
      <c r="D202" s="5" t="s">
        <v>1802</v>
      </c>
      <c r="E202" s="5" t="s">
        <v>1812</v>
      </c>
      <c r="G202" s="5" t="s">
        <v>1782</v>
      </c>
      <c r="H202" s="5" t="s">
        <v>1803</v>
      </c>
      <c r="I202" s="5" t="s">
        <v>1797</v>
      </c>
      <c r="K202" s="7" t="s">
        <v>1794</v>
      </c>
    </row>
    <row r="203" spans="1:11" ht="25.5" customHeight="1">
      <c r="A203" s="6">
        <v>46046</v>
      </c>
      <c r="B203" s="5" t="s">
        <v>546</v>
      </c>
      <c r="C203" s="5" t="s">
        <v>583</v>
      </c>
      <c r="D203" s="5" t="s">
        <v>1799</v>
      </c>
      <c r="E203" s="5" t="s">
        <v>1786</v>
      </c>
      <c r="G203" s="5" t="s">
        <v>1782</v>
      </c>
      <c r="H203" s="5" t="s">
        <v>1800</v>
      </c>
      <c r="I203" s="5" t="s">
        <v>1797</v>
      </c>
      <c r="K203" s="7" t="s">
        <v>1801</v>
      </c>
    </row>
    <row r="204" spans="1:11" ht="25.5" customHeight="1">
      <c r="A204" s="6">
        <v>46046</v>
      </c>
      <c r="B204" s="5" t="s">
        <v>546</v>
      </c>
      <c r="C204" s="5" t="s">
        <v>583</v>
      </c>
      <c r="D204" s="5" t="s">
        <v>1795</v>
      </c>
      <c r="E204" s="5" t="s">
        <v>1812</v>
      </c>
      <c r="G204" s="5" t="s">
        <v>1782</v>
      </c>
      <c r="H204" s="5" t="s">
        <v>1796</v>
      </c>
      <c r="I204" s="5" t="s">
        <v>1797</v>
      </c>
      <c r="K204" s="7" t="s">
        <v>1798</v>
      </c>
    </row>
    <row r="205" spans="1:11" ht="25.5" customHeight="1">
      <c r="A205" s="6">
        <v>46046</v>
      </c>
      <c r="B205" s="5" t="s">
        <v>546</v>
      </c>
      <c r="C205" s="5" t="s">
        <v>583</v>
      </c>
      <c r="D205" s="5" t="s">
        <v>1790</v>
      </c>
      <c r="E205" s="5" t="s">
        <v>1812</v>
      </c>
      <c r="G205" s="5" t="s">
        <v>1791</v>
      </c>
      <c r="H205" s="5" t="s">
        <v>1792</v>
      </c>
      <c r="I205" s="5" t="s">
        <v>1793</v>
      </c>
      <c r="K205" s="7" t="s">
        <v>1794</v>
      </c>
    </row>
    <row r="206" spans="1:11" ht="25.5" customHeight="1">
      <c r="A206" s="6">
        <v>46046</v>
      </c>
      <c r="B206" s="5" t="s">
        <v>546</v>
      </c>
      <c r="C206" s="5" t="s">
        <v>583</v>
      </c>
      <c r="D206" s="5" t="s">
        <v>1785</v>
      </c>
      <c r="E206" s="5" t="s">
        <v>1786</v>
      </c>
      <c r="G206" s="5" t="s">
        <v>1782</v>
      </c>
      <c r="H206" s="5" t="s">
        <v>1787</v>
      </c>
      <c r="I206" s="5" t="s">
        <v>1788</v>
      </c>
      <c r="K206" s="7" t="s">
        <v>1789</v>
      </c>
    </row>
    <row r="207" spans="1:11" ht="25.5" customHeight="1">
      <c r="A207" s="6">
        <v>46046</v>
      </c>
      <c r="B207" s="5" t="s">
        <v>546</v>
      </c>
      <c r="C207" s="5" t="s">
        <v>583</v>
      </c>
      <c r="D207" s="5" t="s">
        <v>1807</v>
      </c>
      <c r="E207" s="5" t="s">
        <v>1811</v>
      </c>
      <c r="G207" s="5" t="s">
        <v>1791</v>
      </c>
      <c r="H207" s="5" t="s">
        <v>1808</v>
      </c>
      <c r="I207" s="5" t="s">
        <v>1809</v>
      </c>
      <c r="J207" s="7" t="s">
        <v>1810</v>
      </c>
    </row>
    <row r="208" spans="1:11" ht="25.5" customHeight="1">
      <c r="A208" s="6">
        <v>46048</v>
      </c>
      <c r="B208" s="5" t="s">
        <v>1825</v>
      </c>
      <c r="C208" s="5" t="s">
        <v>583</v>
      </c>
      <c r="D208" s="5" t="s">
        <v>1826</v>
      </c>
      <c r="E208" s="5" t="s">
        <v>1827</v>
      </c>
      <c r="G208" s="5" t="s">
        <v>1828</v>
      </c>
      <c r="H208" s="5">
        <v>19113746995</v>
      </c>
      <c r="I208" s="5" t="s">
        <v>1829</v>
      </c>
      <c r="J208" s="7" t="s">
        <v>1830</v>
      </c>
      <c r="K208" s="7" t="s">
        <v>2172</v>
      </c>
    </row>
    <row r="209" spans="1:11" ht="25.5" customHeight="1">
      <c r="A209" s="6">
        <v>46048</v>
      </c>
      <c r="B209" s="5" t="s">
        <v>1825</v>
      </c>
      <c r="C209" s="5" t="s">
        <v>583</v>
      </c>
      <c r="E209" s="5" t="s">
        <v>1831</v>
      </c>
      <c r="G209" s="5" t="s">
        <v>1833</v>
      </c>
      <c r="H209" s="5" t="s">
        <v>1832</v>
      </c>
      <c r="I209" s="5" t="s">
        <v>1834</v>
      </c>
      <c r="J209" s="7" t="s">
        <v>1835</v>
      </c>
    </row>
    <row r="210" spans="1:11" ht="25.5" customHeight="1">
      <c r="A210" s="6">
        <v>46048</v>
      </c>
      <c r="B210" s="5" t="s">
        <v>1825</v>
      </c>
      <c r="C210" s="5" t="s">
        <v>583</v>
      </c>
      <c r="D210" s="5" t="s">
        <v>1838</v>
      </c>
      <c r="E210" s="5" t="s">
        <v>1839</v>
      </c>
      <c r="G210" s="5" t="s">
        <v>1840</v>
      </c>
      <c r="H210" s="5" t="s">
        <v>1841</v>
      </c>
      <c r="I210" s="5" t="s">
        <v>1834</v>
      </c>
      <c r="K210" s="7" t="s">
        <v>1847</v>
      </c>
    </row>
    <row r="211" spans="1:11" ht="25.5" customHeight="1">
      <c r="A211" s="6">
        <v>46048</v>
      </c>
      <c r="B211" s="5" t="s">
        <v>1825</v>
      </c>
      <c r="C211" s="5" t="s">
        <v>583</v>
      </c>
      <c r="D211" s="5" t="s">
        <v>1842</v>
      </c>
      <c r="E211" s="5" t="s">
        <v>1839</v>
      </c>
      <c r="G211" s="5" t="s">
        <v>1833</v>
      </c>
      <c r="H211" s="5" t="s">
        <v>1843</v>
      </c>
      <c r="I211" s="5" t="s">
        <v>1834</v>
      </c>
      <c r="K211" s="7" t="s">
        <v>1054</v>
      </c>
    </row>
    <row r="212" spans="1:11" ht="25.5" customHeight="1">
      <c r="A212" s="6">
        <v>46048</v>
      </c>
      <c r="B212" s="5" t="s">
        <v>1848</v>
      </c>
      <c r="C212" s="5" t="s">
        <v>583</v>
      </c>
      <c r="D212" s="5" t="s">
        <v>1849</v>
      </c>
      <c r="E212" s="5" t="s">
        <v>1850</v>
      </c>
      <c r="G212" s="5" t="s">
        <v>1851</v>
      </c>
      <c r="H212" s="5" t="s">
        <v>1852</v>
      </c>
      <c r="I212" s="5" t="s">
        <v>1853</v>
      </c>
    </row>
    <row r="213" spans="1:11" ht="25.5" customHeight="1">
      <c r="A213" s="6">
        <v>46048</v>
      </c>
      <c r="B213" s="5" t="s">
        <v>1848</v>
      </c>
      <c r="C213" s="5" t="s">
        <v>583</v>
      </c>
      <c r="D213" s="5" t="s">
        <v>1854</v>
      </c>
      <c r="E213" s="5" t="s">
        <v>1850</v>
      </c>
      <c r="G213" s="5" t="s">
        <v>1851</v>
      </c>
      <c r="H213" s="5" t="s">
        <v>1855</v>
      </c>
      <c r="I213" s="5" t="s">
        <v>1856</v>
      </c>
      <c r="K213" s="7" t="s">
        <v>1857</v>
      </c>
    </row>
    <row r="214" spans="1:11" ht="25.5" customHeight="1">
      <c r="A214" s="6">
        <v>46048</v>
      </c>
      <c r="B214" s="5" t="s">
        <v>1848</v>
      </c>
      <c r="C214" s="5" t="s">
        <v>583</v>
      </c>
      <c r="D214" s="5" t="s">
        <v>1858</v>
      </c>
      <c r="E214" s="5" t="s">
        <v>1859</v>
      </c>
      <c r="G214" s="5" t="s">
        <v>1860</v>
      </c>
      <c r="H214" s="5" t="s">
        <v>1861</v>
      </c>
      <c r="I214" s="5" t="s">
        <v>1856</v>
      </c>
      <c r="K214" s="7" t="s">
        <v>1847</v>
      </c>
    </row>
    <row r="215" spans="1:11" ht="25.5" customHeight="1">
      <c r="A215" s="6">
        <v>46049</v>
      </c>
      <c r="B215" s="5" t="s">
        <v>1863</v>
      </c>
      <c r="C215" s="5" t="s">
        <v>583</v>
      </c>
      <c r="E215" s="5" t="s">
        <v>1899</v>
      </c>
      <c r="G215" s="5" t="s">
        <v>1864</v>
      </c>
      <c r="H215" s="5" t="s">
        <v>1865</v>
      </c>
      <c r="I215" s="5" t="s">
        <v>1866</v>
      </c>
      <c r="K215" s="7" t="s">
        <v>1896</v>
      </c>
    </row>
    <row r="216" spans="1:11" ht="25.5" customHeight="1">
      <c r="A216" s="6">
        <v>46049</v>
      </c>
      <c r="B216" s="5" t="s">
        <v>1863</v>
      </c>
      <c r="C216" s="5" t="s">
        <v>583</v>
      </c>
      <c r="D216" s="5" t="s">
        <v>1867</v>
      </c>
      <c r="E216" s="5" t="s">
        <v>1898</v>
      </c>
      <c r="G216" s="5" t="s">
        <v>1868</v>
      </c>
      <c r="H216" s="5" t="s">
        <v>1869</v>
      </c>
      <c r="I216" s="5" t="s">
        <v>1866</v>
      </c>
      <c r="K216" s="7" t="s">
        <v>1897</v>
      </c>
    </row>
    <row r="217" spans="1:11" ht="25.5" customHeight="1">
      <c r="A217" s="6">
        <v>46049</v>
      </c>
      <c r="B217" s="5" t="s">
        <v>1863</v>
      </c>
      <c r="C217" s="5" t="s">
        <v>583</v>
      </c>
      <c r="E217" s="5" t="s">
        <v>1899</v>
      </c>
      <c r="G217" s="5" t="s">
        <v>1870</v>
      </c>
      <c r="H217" s="5" t="s">
        <v>1871</v>
      </c>
      <c r="I217" s="5" t="s">
        <v>1866</v>
      </c>
      <c r="K217" s="7" t="s">
        <v>1896</v>
      </c>
    </row>
    <row r="218" spans="1:11" ht="25.5" customHeight="1">
      <c r="A218" s="6">
        <v>46049</v>
      </c>
      <c r="B218" s="5" t="s">
        <v>1863</v>
      </c>
      <c r="C218" s="5" t="s">
        <v>583</v>
      </c>
      <c r="E218" s="5" t="s">
        <v>1898</v>
      </c>
      <c r="G218" s="5" t="s">
        <v>1870</v>
      </c>
      <c r="H218" s="5" t="s">
        <v>1872</v>
      </c>
      <c r="I218" s="5" t="s">
        <v>1866</v>
      </c>
      <c r="K218" s="7" t="s">
        <v>1876</v>
      </c>
    </row>
    <row r="219" spans="1:11" ht="25.5" customHeight="1">
      <c r="A219" s="6">
        <v>46049</v>
      </c>
      <c r="B219" s="5" t="s">
        <v>1863</v>
      </c>
      <c r="C219" s="5" t="s">
        <v>583</v>
      </c>
      <c r="D219" s="5" t="s">
        <v>1883</v>
      </c>
      <c r="E219" s="5" t="s">
        <v>1884</v>
      </c>
      <c r="G219" s="5" t="s">
        <v>1885</v>
      </c>
      <c r="H219" s="5" t="s">
        <v>1886</v>
      </c>
      <c r="I219" s="5" t="s">
        <v>1887</v>
      </c>
      <c r="K219" s="7" t="s">
        <v>1888</v>
      </c>
    </row>
    <row r="220" spans="1:11" ht="25.5" customHeight="1">
      <c r="A220" s="6">
        <v>46049</v>
      </c>
      <c r="B220" s="5" t="s">
        <v>1863</v>
      </c>
      <c r="C220" s="5" t="s">
        <v>583</v>
      </c>
      <c r="D220" s="5" t="s">
        <v>1889</v>
      </c>
      <c r="E220" s="5" t="s">
        <v>1890</v>
      </c>
      <c r="G220" s="5" t="s">
        <v>1891</v>
      </c>
      <c r="H220" s="5">
        <v>13880172393</v>
      </c>
      <c r="I220" s="5" t="s">
        <v>1892</v>
      </c>
      <c r="J220" s="7" t="s">
        <v>1893</v>
      </c>
      <c r="K220" s="7" t="s">
        <v>2173</v>
      </c>
    </row>
    <row r="221" spans="1:11" ht="25.5" customHeight="1">
      <c r="A221" s="6">
        <v>46049</v>
      </c>
      <c r="B221" s="5" t="s">
        <v>1863</v>
      </c>
      <c r="C221" s="5" t="s">
        <v>583</v>
      </c>
      <c r="D221" s="5" t="s">
        <v>1900</v>
      </c>
      <c r="E221" s="5" t="s">
        <v>1899</v>
      </c>
      <c r="G221" s="5" t="s">
        <v>1901</v>
      </c>
      <c r="H221" s="5" t="s">
        <v>1902</v>
      </c>
      <c r="I221" s="5" t="s">
        <v>1903</v>
      </c>
      <c r="K221" s="7" t="s">
        <v>765</v>
      </c>
    </row>
    <row r="222" spans="1:11" ht="25.5" customHeight="1">
      <c r="A222" s="6">
        <v>46054</v>
      </c>
      <c r="B222" s="5" t="s">
        <v>1904</v>
      </c>
      <c r="C222" s="5" t="s">
        <v>583</v>
      </c>
      <c r="D222" s="5" t="s">
        <v>1905</v>
      </c>
      <c r="E222" s="5" t="s">
        <v>1945</v>
      </c>
      <c r="G222" s="5" t="s">
        <v>1906</v>
      </c>
      <c r="H222" s="5">
        <v>13398395980</v>
      </c>
      <c r="I222" s="5" t="s">
        <v>1912</v>
      </c>
      <c r="J222" s="7" t="s">
        <v>1986</v>
      </c>
      <c r="K222" s="7" t="s">
        <v>2174</v>
      </c>
    </row>
    <row r="223" spans="1:11" ht="25.5" customHeight="1">
      <c r="A223" s="6">
        <v>46054</v>
      </c>
      <c r="B223" s="5" t="s">
        <v>1904</v>
      </c>
      <c r="C223" s="5" t="s">
        <v>583</v>
      </c>
      <c r="D223" s="5" t="s">
        <v>1907</v>
      </c>
      <c r="E223" s="5" t="s">
        <v>1970</v>
      </c>
      <c r="G223" s="5" t="s">
        <v>1908</v>
      </c>
      <c r="H223" s="5" t="s">
        <v>1909</v>
      </c>
      <c r="I223" s="5" t="s">
        <v>1910</v>
      </c>
      <c r="K223" s="7" t="s">
        <v>1911</v>
      </c>
    </row>
    <row r="224" spans="1:11" ht="25.5" customHeight="1">
      <c r="A224" s="6">
        <v>46054</v>
      </c>
      <c r="B224" s="5" t="s">
        <v>1904</v>
      </c>
      <c r="C224" s="5" t="s">
        <v>583</v>
      </c>
      <c r="D224" s="5" t="s">
        <v>1913</v>
      </c>
      <c r="E224" s="5" t="s">
        <v>1914</v>
      </c>
      <c r="G224" s="5" t="s">
        <v>1908</v>
      </c>
      <c r="H224" s="5">
        <v>18081209942</v>
      </c>
      <c r="I224" s="5" t="s">
        <v>1912</v>
      </c>
      <c r="K224" s="7" t="s">
        <v>1915</v>
      </c>
    </row>
    <row r="225" spans="1:11" ht="25.5" customHeight="1">
      <c r="A225" s="6">
        <v>46054</v>
      </c>
      <c r="B225" s="5" t="s">
        <v>1904</v>
      </c>
      <c r="C225" s="5" t="s">
        <v>583</v>
      </c>
      <c r="D225" s="5" t="s">
        <v>1926</v>
      </c>
      <c r="E225" s="5" t="s">
        <v>1927</v>
      </c>
      <c r="G225" s="5" t="s">
        <v>1928</v>
      </c>
      <c r="H225" s="5" t="s">
        <v>1929</v>
      </c>
      <c r="I225" s="5" t="s">
        <v>1930</v>
      </c>
      <c r="K225" s="7" t="s">
        <v>1121</v>
      </c>
    </row>
    <row r="226" spans="1:11" ht="25.5" customHeight="1">
      <c r="A226" s="6">
        <v>46054</v>
      </c>
      <c r="B226" s="5" t="s">
        <v>1904</v>
      </c>
      <c r="C226" s="5" t="s">
        <v>583</v>
      </c>
      <c r="D226" s="5" t="s">
        <v>1933</v>
      </c>
      <c r="E226" s="5" t="s">
        <v>1934</v>
      </c>
      <c r="G226" s="5" t="s">
        <v>1935</v>
      </c>
      <c r="H226" s="77" t="s">
        <v>1936</v>
      </c>
      <c r="I226" s="5" t="s">
        <v>1930</v>
      </c>
      <c r="J226" s="7" t="s">
        <v>1992</v>
      </c>
      <c r="K226" s="7" t="s">
        <v>1991</v>
      </c>
    </row>
    <row r="227" spans="1:11" ht="25.5" customHeight="1">
      <c r="A227" s="6">
        <v>46054</v>
      </c>
      <c r="B227" s="5" t="s">
        <v>1938</v>
      </c>
      <c r="C227" s="5" t="s">
        <v>583</v>
      </c>
      <c r="D227" s="5" t="s">
        <v>1939</v>
      </c>
      <c r="E227" s="5" t="s">
        <v>1940</v>
      </c>
      <c r="G227" s="5" t="s">
        <v>1941</v>
      </c>
      <c r="H227" s="5">
        <v>13209912305</v>
      </c>
      <c r="I227" s="5" t="s">
        <v>1942</v>
      </c>
      <c r="J227" s="7" t="s">
        <v>1943</v>
      </c>
      <c r="K227" s="7" t="s">
        <v>1944</v>
      </c>
    </row>
    <row r="228" spans="1:11" ht="25.5" customHeight="1">
      <c r="A228" s="54">
        <v>46055</v>
      </c>
      <c r="B228" s="22" t="s">
        <v>1971</v>
      </c>
      <c r="C228" s="22" t="s">
        <v>583</v>
      </c>
      <c r="D228" s="22"/>
      <c r="E228" s="22" t="s">
        <v>1981</v>
      </c>
      <c r="F228" s="22" t="s">
        <v>1976</v>
      </c>
      <c r="G228" s="22" t="s">
        <v>1972</v>
      </c>
      <c r="H228" s="22">
        <v>18781698755</v>
      </c>
      <c r="I228" s="22" t="s">
        <v>1973</v>
      </c>
      <c r="J228" s="23" t="s">
        <v>1974</v>
      </c>
      <c r="K228" s="23" t="s">
        <v>1975</v>
      </c>
    </row>
    <row r="229" spans="1:11" ht="25.5" customHeight="1">
      <c r="A229" s="54">
        <v>46055</v>
      </c>
      <c r="B229" s="22" t="s">
        <v>1971</v>
      </c>
      <c r="C229" s="22" t="s">
        <v>583</v>
      </c>
      <c r="D229" s="22"/>
      <c r="E229" s="22" t="s">
        <v>1982</v>
      </c>
      <c r="F229" s="22" t="s">
        <v>1977</v>
      </c>
      <c r="G229" s="22" t="s">
        <v>1978</v>
      </c>
      <c r="H229" s="22">
        <v>13608125941</v>
      </c>
      <c r="I229" s="22" t="s">
        <v>1979</v>
      </c>
      <c r="J229" s="23" t="s">
        <v>1980</v>
      </c>
      <c r="K229" s="23" t="s">
        <v>1975</v>
      </c>
    </row>
    <row r="230" spans="1:11" ht="25.5" customHeight="1">
      <c r="A230" s="6">
        <v>46055</v>
      </c>
      <c r="B230" s="5" t="s">
        <v>1971</v>
      </c>
      <c r="C230" s="5" t="s">
        <v>583</v>
      </c>
      <c r="D230" s="5" t="s">
        <v>1983</v>
      </c>
      <c r="E230" s="5" t="s">
        <v>2000</v>
      </c>
      <c r="G230" s="5" t="s">
        <v>1978</v>
      </c>
      <c r="H230" s="5" t="s">
        <v>1984</v>
      </c>
      <c r="I230" s="5" t="s">
        <v>1985</v>
      </c>
      <c r="J230" s="7" t="s">
        <v>1994</v>
      </c>
    </row>
    <row r="231" spans="1:11" ht="25.5" customHeight="1">
      <c r="A231" s="6">
        <v>46056</v>
      </c>
      <c r="B231" s="5" t="s">
        <v>1971</v>
      </c>
      <c r="C231" s="5" t="s">
        <v>583</v>
      </c>
      <c r="D231" s="5" t="s">
        <v>2001</v>
      </c>
      <c r="E231" s="5" t="s">
        <v>2002</v>
      </c>
      <c r="G231" s="5" t="s">
        <v>2003</v>
      </c>
      <c r="H231" s="5">
        <v>17683270522</v>
      </c>
      <c r="I231" s="5" t="s">
        <v>2004</v>
      </c>
      <c r="J231" s="7" t="s">
        <v>2005</v>
      </c>
      <c r="K231" s="7" t="s">
        <v>2072</v>
      </c>
    </row>
    <row r="232" spans="1:11" ht="25.5" customHeight="1">
      <c r="A232" s="6">
        <v>46056</v>
      </c>
      <c r="B232" s="5" t="s">
        <v>1971</v>
      </c>
      <c r="C232" s="5" t="s">
        <v>583</v>
      </c>
      <c r="D232" s="5" t="s">
        <v>2006</v>
      </c>
      <c r="E232" s="5" t="s">
        <v>2007</v>
      </c>
      <c r="G232" s="5" t="s">
        <v>2003</v>
      </c>
      <c r="H232" s="5" t="s">
        <v>2008</v>
      </c>
      <c r="I232" s="5" t="s">
        <v>2004</v>
      </c>
      <c r="J232" s="7" t="s">
        <v>2009</v>
      </c>
      <c r="K232" s="7" t="s">
        <v>2010</v>
      </c>
    </row>
    <row r="233" spans="1:11" ht="25.5" customHeight="1">
      <c r="A233" s="6">
        <v>46057</v>
      </c>
      <c r="B233" s="5" t="s">
        <v>1971</v>
      </c>
      <c r="C233" s="5" t="s">
        <v>646</v>
      </c>
      <c r="E233" s="5" t="s">
        <v>2011</v>
      </c>
      <c r="F233" s="5" t="s">
        <v>674</v>
      </c>
      <c r="G233" s="5" t="s">
        <v>2012</v>
      </c>
      <c r="H233" s="5">
        <v>13911287689</v>
      </c>
      <c r="I233" s="5" t="s">
        <v>2013</v>
      </c>
      <c r="J233" s="7" t="s">
        <v>2014</v>
      </c>
      <c r="K233" s="7" t="s">
        <v>2026</v>
      </c>
    </row>
    <row r="234" spans="1:11" ht="25.5" customHeight="1">
      <c r="A234" s="6">
        <v>46057</v>
      </c>
      <c r="B234" s="5" t="s">
        <v>1971</v>
      </c>
      <c r="C234" s="5" t="s">
        <v>2015</v>
      </c>
      <c r="E234" s="5" t="s">
        <v>2011</v>
      </c>
      <c r="F234" s="5" t="s">
        <v>2175</v>
      </c>
      <c r="G234" s="5" t="s">
        <v>2016</v>
      </c>
      <c r="H234" s="5">
        <v>15378191533</v>
      </c>
      <c r="I234" s="5" t="s">
        <v>2017</v>
      </c>
      <c r="J234" s="7" t="s">
        <v>2018</v>
      </c>
      <c r="K234" s="7" t="s">
        <v>2176</v>
      </c>
    </row>
    <row r="235" spans="1:11" ht="25.5" customHeight="1">
      <c r="A235" s="6">
        <v>46057</v>
      </c>
      <c r="B235" s="5" t="s">
        <v>2065</v>
      </c>
      <c r="C235" s="5" t="s">
        <v>583</v>
      </c>
      <c r="D235" s="5" t="s">
        <v>2066</v>
      </c>
      <c r="E235" s="5" t="s">
        <v>2067</v>
      </c>
      <c r="G235" s="5" t="s">
        <v>2068</v>
      </c>
      <c r="H235" s="5" t="s">
        <v>2069</v>
      </c>
      <c r="I235" s="5" t="s">
        <v>2070</v>
      </c>
      <c r="K235" s="7" t="s">
        <v>2071</v>
      </c>
    </row>
    <row r="236" spans="1:11" ht="25.5" customHeight="1">
      <c r="A236" s="54">
        <v>46058</v>
      </c>
      <c r="B236" s="22" t="s">
        <v>2089</v>
      </c>
      <c r="C236" s="22" t="s">
        <v>583</v>
      </c>
      <c r="D236" s="22" t="s">
        <v>2090</v>
      </c>
      <c r="E236" s="22" t="s">
        <v>2091</v>
      </c>
      <c r="F236" s="22" t="s">
        <v>2092</v>
      </c>
      <c r="G236" s="22" t="s">
        <v>2075</v>
      </c>
      <c r="H236" s="22">
        <v>13771630327</v>
      </c>
      <c r="I236" s="22" t="s">
        <v>2093</v>
      </c>
      <c r="J236" s="23" t="s">
        <v>2094</v>
      </c>
      <c r="K236" s="23" t="s">
        <v>2095</v>
      </c>
    </row>
    <row r="237" spans="1:11" ht="25.5" customHeight="1">
      <c r="A237" s="6">
        <v>46058</v>
      </c>
      <c r="B237" s="5" t="s">
        <v>2089</v>
      </c>
      <c r="C237" s="5" t="s">
        <v>583</v>
      </c>
      <c r="E237" s="5" t="s">
        <v>2096</v>
      </c>
      <c r="F237" s="5" t="s">
        <v>2097</v>
      </c>
      <c r="G237" s="5" t="s">
        <v>2075</v>
      </c>
      <c r="H237" s="5">
        <v>18609355926</v>
      </c>
      <c r="I237" s="5" t="s">
        <v>2098</v>
      </c>
      <c r="J237" s="7" t="s">
        <v>2099</v>
      </c>
      <c r="K237" s="7" t="s">
        <v>2131</v>
      </c>
    </row>
    <row r="238" spans="1:11" ht="25.5" customHeight="1">
      <c r="A238" s="6">
        <v>46058</v>
      </c>
      <c r="B238" s="5" t="s">
        <v>2089</v>
      </c>
      <c r="C238" s="5" t="s">
        <v>583</v>
      </c>
      <c r="E238" s="5" t="s">
        <v>2100</v>
      </c>
      <c r="G238" s="5" t="s">
        <v>2101</v>
      </c>
      <c r="H238" s="5" t="s">
        <v>2102</v>
      </c>
      <c r="I238" s="5" t="s">
        <v>2103</v>
      </c>
      <c r="J238" s="7" t="s">
        <v>2104</v>
      </c>
    </row>
    <row r="239" spans="1:11" ht="25.5" customHeight="1">
      <c r="A239" s="6">
        <v>46058</v>
      </c>
      <c r="B239" s="5" t="s">
        <v>2089</v>
      </c>
      <c r="C239" s="5" t="s">
        <v>583</v>
      </c>
      <c r="E239" s="5" t="s">
        <v>2105</v>
      </c>
      <c r="G239" s="5" t="s">
        <v>2075</v>
      </c>
      <c r="H239" s="5" t="s">
        <v>2106</v>
      </c>
      <c r="I239" s="5" t="s">
        <v>2103</v>
      </c>
      <c r="K239" s="7" t="s">
        <v>2107</v>
      </c>
    </row>
    <row r="240" spans="1:11" ht="25.5" customHeight="1">
      <c r="A240" s="6">
        <v>46059</v>
      </c>
      <c r="B240" s="5" t="s">
        <v>2108</v>
      </c>
      <c r="C240" s="5" t="s">
        <v>583</v>
      </c>
      <c r="D240" s="5" t="s">
        <v>2109</v>
      </c>
      <c r="E240" s="5" t="s">
        <v>2136</v>
      </c>
      <c r="G240" s="5" t="s">
        <v>2110</v>
      </c>
      <c r="H240" s="5" t="s">
        <v>2111</v>
      </c>
      <c r="I240" s="5" t="s">
        <v>2112</v>
      </c>
      <c r="J240" s="7" t="s">
        <v>2138</v>
      </c>
    </row>
    <row r="241" spans="1:11" ht="25.5" customHeight="1">
      <c r="A241" s="6">
        <v>46059</v>
      </c>
      <c r="B241" s="5" t="s">
        <v>2108</v>
      </c>
      <c r="C241" s="5" t="s">
        <v>583</v>
      </c>
      <c r="E241" s="5" t="s">
        <v>2137</v>
      </c>
      <c r="G241" s="5" t="s">
        <v>2118</v>
      </c>
      <c r="H241" s="5">
        <v>13700968666</v>
      </c>
      <c r="I241" s="5" t="s">
        <v>2119</v>
      </c>
      <c r="J241" s="7" t="s">
        <v>2120</v>
      </c>
      <c r="K241" s="7" t="s">
        <v>2177</v>
      </c>
    </row>
    <row r="242" spans="1:11" ht="25.5" customHeight="1">
      <c r="A242" s="6">
        <v>46059</v>
      </c>
      <c r="B242" s="5" t="s">
        <v>2121</v>
      </c>
      <c r="C242" s="5" t="s">
        <v>2122</v>
      </c>
      <c r="E242" s="5" t="s">
        <v>2137</v>
      </c>
      <c r="F242" s="5" t="s">
        <v>2123</v>
      </c>
      <c r="G242" s="5" t="s">
        <v>2124</v>
      </c>
      <c r="H242" s="5">
        <v>15281663386</v>
      </c>
      <c r="I242" s="5" t="s">
        <v>2129</v>
      </c>
      <c r="J242" s="7" t="s">
        <v>2130</v>
      </c>
      <c r="K242" s="7" t="s">
        <v>2125</v>
      </c>
    </row>
    <row r="243" spans="1:11" ht="25.5" customHeight="1">
      <c r="A243" s="6">
        <v>46060</v>
      </c>
      <c r="B243" s="5" t="s">
        <v>2121</v>
      </c>
      <c r="C243" s="5" t="s">
        <v>583</v>
      </c>
      <c r="D243" s="5" t="s">
        <v>2132</v>
      </c>
      <c r="E243" s="5" t="s">
        <v>2136</v>
      </c>
      <c r="G243" s="5" t="s">
        <v>2133</v>
      </c>
      <c r="H243" s="5" t="s">
        <v>2134</v>
      </c>
      <c r="I243" s="5" t="s">
        <v>2135</v>
      </c>
      <c r="K243" s="7" t="s">
        <v>891</v>
      </c>
    </row>
    <row r="244" spans="1:11" ht="25.5" customHeight="1">
      <c r="A244" s="6">
        <v>46060</v>
      </c>
      <c r="B244" s="5" t="s">
        <v>2121</v>
      </c>
      <c r="C244" s="5" t="s">
        <v>583</v>
      </c>
      <c r="D244" s="5" t="s">
        <v>2139</v>
      </c>
      <c r="E244" s="5" t="s">
        <v>2136</v>
      </c>
      <c r="G244" s="5" t="s">
        <v>2141</v>
      </c>
      <c r="H244" s="5" t="s">
        <v>2140</v>
      </c>
      <c r="I244" s="5" t="s">
        <v>2135</v>
      </c>
      <c r="K244" s="7" t="s">
        <v>2142</v>
      </c>
    </row>
    <row r="245" spans="1:11" ht="25.5" customHeight="1">
      <c r="A245" s="6">
        <v>46060</v>
      </c>
      <c r="B245" s="5" t="s">
        <v>2121</v>
      </c>
      <c r="C245" s="5" t="s">
        <v>583</v>
      </c>
      <c r="D245" s="5" t="s">
        <v>2143</v>
      </c>
      <c r="E245" s="5" t="s">
        <v>2136</v>
      </c>
      <c r="G245" s="5" t="s">
        <v>2124</v>
      </c>
      <c r="H245" s="5" t="s">
        <v>2144</v>
      </c>
      <c r="I245" s="5" t="s">
        <v>2145</v>
      </c>
      <c r="K245" s="7" t="s">
        <v>1121</v>
      </c>
    </row>
    <row r="246" spans="1:11" ht="25.5" customHeight="1">
      <c r="A246" s="6">
        <v>46061</v>
      </c>
      <c r="B246" s="5" t="s">
        <v>2178</v>
      </c>
      <c r="C246" s="5" t="s">
        <v>583</v>
      </c>
      <c r="D246" s="5" t="s">
        <v>2179</v>
      </c>
      <c r="E246" s="5" t="s">
        <v>2180</v>
      </c>
      <c r="G246" s="5" t="s">
        <v>2181</v>
      </c>
      <c r="H246" s="5" t="s">
        <v>2182</v>
      </c>
      <c r="I246" s="5" t="s">
        <v>2183</v>
      </c>
      <c r="K246" s="7" t="s">
        <v>1121</v>
      </c>
    </row>
    <row r="247" spans="1:11" ht="25.5" customHeight="1">
      <c r="A247" s="6">
        <v>46061</v>
      </c>
      <c r="B247" s="5" t="s">
        <v>2178</v>
      </c>
      <c r="C247" s="5" t="s">
        <v>583</v>
      </c>
      <c r="E247" s="5" t="s">
        <v>2184</v>
      </c>
      <c r="F247" s="5" t="s">
        <v>2187</v>
      </c>
      <c r="G247" s="5" t="s">
        <v>2185</v>
      </c>
      <c r="H247" s="5">
        <v>13608116238</v>
      </c>
      <c r="I247" s="5" t="s">
        <v>2183</v>
      </c>
      <c r="J247" s="7" t="s">
        <v>2186</v>
      </c>
    </row>
    <row r="248" spans="1:11" ht="25.5" customHeight="1">
      <c r="A248" s="59">
        <v>46061</v>
      </c>
      <c r="B248" s="61" t="s">
        <v>2188</v>
      </c>
      <c r="C248" s="61" t="s">
        <v>2204</v>
      </c>
      <c r="D248" s="61"/>
      <c r="E248" s="61" t="s">
        <v>2195</v>
      </c>
      <c r="F248" s="61" t="s">
        <v>2205</v>
      </c>
      <c r="G248" s="61" t="s">
        <v>2189</v>
      </c>
      <c r="H248" s="61">
        <v>15378191533</v>
      </c>
      <c r="I248" s="61" t="s">
        <v>2206</v>
      </c>
      <c r="J248" s="72" t="s">
        <v>2207</v>
      </c>
      <c r="K248" s="72" t="s">
        <v>2208</v>
      </c>
    </row>
    <row r="249" spans="1:11" ht="25.5" customHeight="1">
      <c r="A249" s="6">
        <v>46062</v>
      </c>
      <c r="B249" s="5" t="s">
        <v>2188</v>
      </c>
      <c r="C249" s="5" t="s">
        <v>583</v>
      </c>
      <c r="E249" s="5" t="s">
        <v>2191</v>
      </c>
      <c r="F249" s="5" t="s">
        <v>2190</v>
      </c>
      <c r="G249" s="5" t="s">
        <v>2189</v>
      </c>
      <c r="H249" s="5">
        <v>15781577889</v>
      </c>
      <c r="I249" s="5" t="s">
        <v>2192</v>
      </c>
      <c r="J249" s="7" t="s">
        <v>2193</v>
      </c>
    </row>
    <row r="250" spans="1:11" ht="25.5" customHeight="1">
      <c r="A250" s="6">
        <v>46062</v>
      </c>
      <c r="B250" s="5" t="s">
        <v>2188</v>
      </c>
      <c r="C250" s="5" t="s">
        <v>583</v>
      </c>
      <c r="D250" s="5" t="s">
        <v>2194</v>
      </c>
      <c r="E250" s="5" t="s">
        <v>2195</v>
      </c>
      <c r="F250" s="5" t="s">
        <v>2196</v>
      </c>
      <c r="G250" s="5" t="s">
        <v>2197</v>
      </c>
      <c r="H250" s="5">
        <v>15508053008</v>
      </c>
      <c r="I250" s="5" t="s">
        <v>2198</v>
      </c>
      <c r="J250" s="7" t="s">
        <v>2199</v>
      </c>
      <c r="K250" s="7" t="s">
        <v>2200</v>
      </c>
    </row>
    <row r="251" spans="1:11" ht="25.5" customHeight="1">
      <c r="A251" s="6">
        <v>46062</v>
      </c>
      <c r="B251" s="5" t="s">
        <v>2188</v>
      </c>
      <c r="C251" s="5" t="s">
        <v>583</v>
      </c>
      <c r="E251" s="5" t="s">
        <v>2201</v>
      </c>
      <c r="G251" s="5" t="s">
        <v>2202</v>
      </c>
      <c r="H251" s="5" t="s">
        <v>2203</v>
      </c>
      <c r="I251" s="5" t="s">
        <v>2192</v>
      </c>
      <c r="K251" s="7" t="s">
        <v>891</v>
      </c>
    </row>
    <row r="252" spans="1:11" ht="25.5" customHeight="1">
      <c r="A252" s="6">
        <v>46063</v>
      </c>
      <c r="B252" s="5" t="s">
        <v>2223</v>
      </c>
      <c r="C252" s="5" t="s">
        <v>583</v>
      </c>
      <c r="E252" s="5" t="s">
        <v>2225</v>
      </c>
      <c r="G252" s="5" t="s">
        <v>2226</v>
      </c>
      <c r="H252" s="5" t="s">
        <v>2227</v>
      </c>
      <c r="I252" s="5" t="s">
        <v>2228</v>
      </c>
      <c r="J252" s="7" t="s">
        <v>2229</v>
      </c>
      <c r="K252" s="7" t="s">
        <v>1121</v>
      </c>
    </row>
    <row r="253" spans="1:11" ht="25.5" customHeight="1">
      <c r="A253" s="6">
        <v>46063</v>
      </c>
      <c r="B253" s="5" t="s">
        <v>2223</v>
      </c>
      <c r="C253" s="5" t="s">
        <v>583</v>
      </c>
      <c r="D253" s="5" t="s">
        <v>2230</v>
      </c>
      <c r="E253" s="5" t="s">
        <v>2224</v>
      </c>
      <c r="G253" s="5" t="s">
        <v>2226</v>
      </c>
      <c r="H253" s="5" t="s">
        <v>2231</v>
      </c>
      <c r="I253" s="5" t="s">
        <v>2228</v>
      </c>
    </row>
    <row r="254" spans="1:11" ht="25.5" customHeight="1">
      <c r="A254" s="6">
        <v>46064</v>
      </c>
      <c r="B254" s="5" t="s">
        <v>2232</v>
      </c>
      <c r="C254" s="5" t="s">
        <v>583</v>
      </c>
      <c r="D254" s="5" t="s">
        <v>2235</v>
      </c>
      <c r="E254" s="5" t="s">
        <v>2236</v>
      </c>
      <c r="G254" s="5" t="s">
        <v>2233</v>
      </c>
      <c r="H254" s="5" t="s">
        <v>2237</v>
      </c>
      <c r="I254" s="5" t="s">
        <v>2234</v>
      </c>
      <c r="K254" s="7" t="s">
        <v>2238</v>
      </c>
    </row>
    <row r="255" spans="1:11" ht="25.5" customHeight="1">
      <c r="A255" s="6">
        <v>46064</v>
      </c>
      <c r="B255" s="5" t="s">
        <v>2239</v>
      </c>
      <c r="C255" s="5" t="s">
        <v>583</v>
      </c>
      <c r="D255" s="5" t="s">
        <v>2240</v>
      </c>
      <c r="E255" s="5" t="s">
        <v>2241</v>
      </c>
      <c r="G255" s="5" t="s">
        <v>2242</v>
      </c>
      <c r="H255" s="5" t="s">
        <v>2243</v>
      </c>
      <c r="I255" s="5" t="s">
        <v>2249</v>
      </c>
      <c r="J255" s="7" t="s">
        <v>2244</v>
      </c>
      <c r="K255" s="7" t="s">
        <v>2329</v>
      </c>
    </row>
    <row r="256" spans="1:11" ht="25.5" customHeight="1">
      <c r="A256" s="6">
        <v>46064</v>
      </c>
      <c r="B256" s="5" t="s">
        <v>2239</v>
      </c>
      <c r="C256" s="5" t="s">
        <v>583</v>
      </c>
      <c r="D256" s="5" t="s">
        <v>2245</v>
      </c>
      <c r="E256" s="5" t="s">
        <v>2246</v>
      </c>
      <c r="G256" s="5" t="s">
        <v>2247</v>
      </c>
      <c r="H256" s="5" t="s">
        <v>2248</v>
      </c>
      <c r="I256" s="5" t="s">
        <v>2249</v>
      </c>
      <c r="J256" s="7" t="s">
        <v>2250</v>
      </c>
      <c r="K256" s="7" t="s">
        <v>2251</v>
      </c>
    </row>
    <row r="257" spans="1:11" ht="25.5" customHeight="1">
      <c r="A257" s="6">
        <v>46079</v>
      </c>
      <c r="B257" s="5" t="s">
        <v>2253</v>
      </c>
      <c r="C257" s="5" t="s">
        <v>2258</v>
      </c>
      <c r="D257" s="5" t="s">
        <v>2259</v>
      </c>
      <c r="E257" s="5" t="s">
        <v>2260</v>
      </c>
      <c r="G257" s="5" t="s">
        <v>2256</v>
      </c>
      <c r="H257" s="5" t="s">
        <v>2261</v>
      </c>
      <c r="I257" s="5" t="s">
        <v>2262</v>
      </c>
      <c r="J257" s="7" t="s">
        <v>2263</v>
      </c>
    </row>
    <row r="258" spans="1:11" ht="25.5" customHeight="1">
      <c r="A258" s="6">
        <v>46079</v>
      </c>
      <c r="B258" s="5" t="s">
        <v>2253</v>
      </c>
      <c r="C258" s="5" t="s">
        <v>2258</v>
      </c>
      <c r="D258" s="5" t="s">
        <v>2264</v>
      </c>
      <c r="E258" s="5" t="s">
        <v>2265</v>
      </c>
      <c r="G258" s="5" t="s">
        <v>2266</v>
      </c>
      <c r="H258" s="5">
        <v>17386762811</v>
      </c>
      <c r="I258" s="5" t="s">
        <v>2262</v>
      </c>
      <c r="J258" s="7" t="s">
        <v>2267</v>
      </c>
    </row>
    <row r="259" spans="1:11" ht="25.5" customHeight="1">
      <c r="A259" s="6">
        <v>46079</v>
      </c>
      <c r="B259" s="5" t="s">
        <v>2253</v>
      </c>
      <c r="C259" s="5" t="s">
        <v>583</v>
      </c>
      <c r="D259" s="5" t="s">
        <v>2350</v>
      </c>
      <c r="E259" s="5" t="s">
        <v>2268</v>
      </c>
      <c r="G259" s="5" t="s">
        <v>59</v>
      </c>
      <c r="H259" s="5">
        <v>17780950992</v>
      </c>
      <c r="I259" s="5" t="s">
        <v>2262</v>
      </c>
      <c r="J259" s="7" t="s">
        <v>2351</v>
      </c>
      <c r="K259" s="7" t="s">
        <v>2352</v>
      </c>
    </row>
    <row r="260" spans="1:11" ht="25.5" customHeight="1">
      <c r="A260" s="6">
        <v>46079</v>
      </c>
      <c r="B260" s="5" t="s">
        <v>2296</v>
      </c>
      <c r="C260" s="5" t="s">
        <v>583</v>
      </c>
      <c r="D260" s="5" t="s">
        <v>2299</v>
      </c>
      <c r="E260" s="5" t="s">
        <v>2300</v>
      </c>
      <c r="G260" s="5" t="s">
        <v>2301</v>
      </c>
      <c r="H260" s="5" t="s">
        <v>2302</v>
      </c>
      <c r="I260" s="5" t="s">
        <v>2303</v>
      </c>
      <c r="K260" s="7" t="s">
        <v>1121</v>
      </c>
    </row>
    <row r="261" spans="1:11" ht="25.5" customHeight="1">
      <c r="A261" s="6">
        <v>46079</v>
      </c>
      <c r="B261" s="5" t="s">
        <v>2296</v>
      </c>
      <c r="C261" s="5" t="s">
        <v>583</v>
      </c>
      <c r="D261" s="5" t="s">
        <v>2304</v>
      </c>
      <c r="E261" s="5" t="s">
        <v>2305</v>
      </c>
      <c r="G261" s="5" t="s">
        <v>2297</v>
      </c>
      <c r="H261" s="5" t="s">
        <v>2306</v>
      </c>
      <c r="I261" s="5" t="s">
        <v>2307</v>
      </c>
      <c r="J261" s="7" t="s">
        <v>2308</v>
      </c>
    </row>
    <row r="262" spans="1:11" ht="25.5" customHeight="1">
      <c r="A262" s="6">
        <v>46079</v>
      </c>
      <c r="B262" s="5" t="s">
        <v>2310</v>
      </c>
      <c r="C262" s="5" t="s">
        <v>583</v>
      </c>
      <c r="E262" s="5" t="s">
        <v>2312</v>
      </c>
      <c r="G262" s="5" t="s">
        <v>2309</v>
      </c>
      <c r="H262" s="5">
        <v>13778046959</v>
      </c>
      <c r="I262" s="5" t="s">
        <v>2311</v>
      </c>
      <c r="K262" s="7" t="s">
        <v>765</v>
      </c>
    </row>
    <row r="263" spans="1:11" ht="25.5" customHeight="1">
      <c r="A263" s="6">
        <v>46080</v>
      </c>
      <c r="B263" s="5" t="s">
        <v>2320</v>
      </c>
      <c r="C263" s="5" t="s">
        <v>583</v>
      </c>
      <c r="D263" s="5" t="s">
        <v>2332</v>
      </c>
      <c r="E263" s="5" t="s">
        <v>2333</v>
      </c>
      <c r="G263" s="5" t="s">
        <v>2334</v>
      </c>
      <c r="H263" s="5" t="s">
        <v>2335</v>
      </c>
      <c r="I263" s="5" t="s">
        <v>2336</v>
      </c>
      <c r="K263" s="7" t="s">
        <v>2337</v>
      </c>
    </row>
    <row r="264" spans="1:11" ht="25.5" customHeight="1">
      <c r="A264" s="6">
        <v>46080</v>
      </c>
      <c r="B264" s="5" t="s">
        <v>2320</v>
      </c>
      <c r="C264" s="5" t="s">
        <v>583</v>
      </c>
      <c r="D264" s="5" t="s">
        <v>2338</v>
      </c>
      <c r="E264" s="5" t="s">
        <v>2339</v>
      </c>
      <c r="G264" s="5" t="s">
        <v>2331</v>
      </c>
      <c r="H264" s="5">
        <v>13696297996</v>
      </c>
      <c r="I264" s="5" t="s">
        <v>2340</v>
      </c>
      <c r="J264" s="7" t="s">
        <v>2341</v>
      </c>
      <c r="K264" s="7" t="s">
        <v>2349</v>
      </c>
    </row>
    <row r="265" spans="1:11" ht="25.5" customHeight="1">
      <c r="A265" s="6">
        <v>46080</v>
      </c>
      <c r="B265" s="5" t="s">
        <v>2320</v>
      </c>
      <c r="C265" s="5" t="s">
        <v>583</v>
      </c>
      <c r="D265" s="5" t="s">
        <v>2342</v>
      </c>
      <c r="E265" s="5" t="s">
        <v>2343</v>
      </c>
      <c r="G265" s="5" t="s">
        <v>2324</v>
      </c>
      <c r="H265" s="5" t="s">
        <v>2344</v>
      </c>
      <c r="I265" s="5" t="s">
        <v>2336</v>
      </c>
      <c r="J265" s="7" t="s">
        <v>2345</v>
      </c>
    </row>
    <row r="266" spans="1:11" ht="25.5" customHeight="1">
      <c r="A266" s="6">
        <v>46080</v>
      </c>
      <c r="B266" s="5" t="s">
        <v>2320</v>
      </c>
      <c r="C266" s="5" t="s">
        <v>497</v>
      </c>
      <c r="E266" s="5" t="s">
        <v>2339</v>
      </c>
      <c r="F266" s="5" t="s">
        <v>2353</v>
      </c>
      <c r="G266" s="5" t="s">
        <v>2331</v>
      </c>
      <c r="H266" s="5">
        <v>18483696996</v>
      </c>
      <c r="I266" s="5" t="s">
        <v>2346</v>
      </c>
      <c r="J266" s="7" t="s">
        <v>2347</v>
      </c>
      <c r="K266" s="7" t="s">
        <v>2348</v>
      </c>
    </row>
    <row r="267" spans="1:11" ht="25.5" customHeight="1">
      <c r="A267" s="6">
        <v>46080</v>
      </c>
      <c r="B267" s="5" t="s">
        <v>2320</v>
      </c>
      <c r="C267" s="5" t="s">
        <v>497</v>
      </c>
      <c r="D267" s="5" t="s">
        <v>2355</v>
      </c>
      <c r="F267" s="5" t="s">
        <v>2354</v>
      </c>
      <c r="G267" s="5" t="s">
        <v>2331</v>
      </c>
      <c r="H267" s="5">
        <v>15281663386</v>
      </c>
      <c r="I267" s="5" t="s">
        <v>2356</v>
      </c>
      <c r="J267" s="7" t="s">
        <v>2357</v>
      </c>
      <c r="K267" s="7" t="s">
        <v>2365</v>
      </c>
    </row>
    <row r="268" spans="1:11" ht="25.5" customHeight="1">
      <c r="A268" s="6">
        <v>46080</v>
      </c>
      <c r="B268" s="5" t="s">
        <v>2320</v>
      </c>
      <c r="C268" s="5" t="s">
        <v>583</v>
      </c>
      <c r="D268" s="5" t="s">
        <v>2358</v>
      </c>
      <c r="E268" s="5" t="s">
        <v>2339</v>
      </c>
      <c r="F268" s="5" t="s">
        <v>2359</v>
      </c>
      <c r="G268" s="5" t="s">
        <v>2324</v>
      </c>
      <c r="H268" s="5">
        <v>18628087115</v>
      </c>
      <c r="I268" s="5" t="s">
        <v>2360</v>
      </c>
      <c r="J268" s="7" t="s">
        <v>2361</v>
      </c>
      <c r="K268" s="7" t="s">
        <v>2362</v>
      </c>
    </row>
    <row r="269" spans="1:11" ht="25.5" customHeight="1">
      <c r="A269" s="6">
        <v>46080</v>
      </c>
      <c r="B269" s="5" t="s">
        <v>2320</v>
      </c>
      <c r="C269" s="5" t="s">
        <v>583</v>
      </c>
      <c r="E269" s="5" t="s">
        <v>2343</v>
      </c>
      <c r="G269" s="5" t="s">
        <v>2331</v>
      </c>
      <c r="H269" s="5" t="s">
        <v>2363</v>
      </c>
      <c r="I269" s="5" t="s">
        <v>2336</v>
      </c>
      <c r="J269" s="7" t="s">
        <v>2364</v>
      </c>
    </row>
    <row r="270" spans="1:11" ht="25.5" customHeight="1">
      <c r="A270" s="6">
        <v>46081</v>
      </c>
      <c r="B270" s="5" t="s">
        <v>2371</v>
      </c>
      <c r="C270" s="5" t="s">
        <v>583</v>
      </c>
      <c r="D270" s="5" t="s">
        <v>2372</v>
      </c>
      <c r="E270" s="5" t="s">
        <v>2373</v>
      </c>
      <c r="G270" s="5" t="s">
        <v>2368</v>
      </c>
      <c r="H270" s="5" t="s">
        <v>2374</v>
      </c>
      <c r="I270" s="5" t="s">
        <v>2375</v>
      </c>
      <c r="K270" s="7" t="s">
        <v>2376</v>
      </c>
    </row>
    <row r="271" spans="1:11" ht="25.5" customHeight="1">
      <c r="A271" s="6">
        <v>46081</v>
      </c>
      <c r="B271" s="5" t="s">
        <v>2371</v>
      </c>
      <c r="C271" s="5" t="s">
        <v>583</v>
      </c>
      <c r="E271" s="5" t="s">
        <v>2373</v>
      </c>
      <c r="G271" s="5" t="s">
        <v>2377</v>
      </c>
      <c r="H271" s="5" t="s">
        <v>2378</v>
      </c>
      <c r="I271" s="5" t="s">
        <v>2375</v>
      </c>
      <c r="K271" s="7" t="s">
        <v>2376</v>
      </c>
    </row>
    <row r="272" spans="1:11" ht="25.5" customHeight="1">
      <c r="A272" s="6">
        <v>46081</v>
      </c>
      <c r="B272" s="5" t="s">
        <v>2371</v>
      </c>
      <c r="C272" s="5" t="s">
        <v>583</v>
      </c>
      <c r="D272" s="5" t="s">
        <v>2379</v>
      </c>
      <c r="E272" s="5" t="s">
        <v>2373</v>
      </c>
      <c r="G272" s="5" t="s">
        <v>2368</v>
      </c>
      <c r="H272" s="5" t="s">
        <v>2380</v>
      </c>
      <c r="I272" s="5" t="s">
        <v>2375</v>
      </c>
      <c r="K272" s="7" t="s">
        <v>1345</v>
      </c>
    </row>
    <row r="273" spans="1:11" ht="25.5" customHeight="1">
      <c r="A273" s="6">
        <v>46081</v>
      </c>
      <c r="B273" s="5" t="s">
        <v>2371</v>
      </c>
      <c r="C273" s="5" t="s">
        <v>583</v>
      </c>
      <c r="D273" s="5" t="s">
        <v>2381</v>
      </c>
      <c r="E273" s="5" t="s">
        <v>2373</v>
      </c>
      <c r="G273" s="5" t="s">
        <v>2377</v>
      </c>
      <c r="H273" s="5" t="s">
        <v>2383</v>
      </c>
      <c r="I273" s="5" t="s">
        <v>2375</v>
      </c>
      <c r="K273" s="7" t="s">
        <v>2382</v>
      </c>
    </row>
    <row r="274" spans="1:11" ht="25.5" customHeight="1">
      <c r="A274" s="6">
        <v>46081</v>
      </c>
      <c r="B274" s="5" t="s">
        <v>2371</v>
      </c>
      <c r="C274" s="5" t="s">
        <v>583</v>
      </c>
      <c r="D274" s="5" t="s">
        <v>2384</v>
      </c>
      <c r="E274" s="5" t="s">
        <v>2385</v>
      </c>
      <c r="G274" s="5" t="s">
        <v>2368</v>
      </c>
      <c r="H274" s="5" t="s">
        <v>2386</v>
      </c>
      <c r="I274" s="5" t="s">
        <v>2375</v>
      </c>
      <c r="J274" s="7" t="s">
        <v>2387</v>
      </c>
    </row>
    <row r="275" spans="1:11" ht="25.5" customHeight="1">
      <c r="A275" s="6">
        <v>46081</v>
      </c>
      <c r="B275" s="5" t="s">
        <v>2371</v>
      </c>
      <c r="C275" s="5" t="s">
        <v>497</v>
      </c>
      <c r="E275" s="5" t="s">
        <v>2390</v>
      </c>
      <c r="G275" s="5" t="s">
        <v>2368</v>
      </c>
      <c r="H275" s="5">
        <v>18181765430</v>
      </c>
      <c r="I275" s="5" t="s">
        <v>2388</v>
      </c>
      <c r="J275" s="7" t="s">
        <v>2389</v>
      </c>
    </row>
    <row r="276" spans="1:11" ht="25.5" customHeight="1">
      <c r="A276" s="6">
        <v>46083</v>
      </c>
      <c r="B276" s="5" t="s">
        <v>2391</v>
      </c>
      <c r="C276" s="5" t="s">
        <v>583</v>
      </c>
      <c r="D276" s="5" t="s">
        <v>2392</v>
      </c>
      <c r="E276" s="5" t="s">
        <v>2393</v>
      </c>
      <c r="G276" s="5" t="s">
        <v>2394</v>
      </c>
      <c r="H276" s="5" t="s">
        <v>2395</v>
      </c>
      <c r="I276" s="5" t="s">
        <v>2396</v>
      </c>
      <c r="K276" s="7" t="s">
        <v>2397</v>
      </c>
    </row>
    <row r="277" spans="1:11" ht="25.5" customHeight="1">
      <c r="A277" s="6">
        <v>46083</v>
      </c>
      <c r="B277" s="5" t="s">
        <v>2391</v>
      </c>
      <c r="C277" s="5" t="s">
        <v>583</v>
      </c>
      <c r="E277" s="5" t="s">
        <v>2398</v>
      </c>
      <c r="G277" s="5" t="s">
        <v>2394</v>
      </c>
      <c r="H277" s="5">
        <v>13350204252</v>
      </c>
      <c r="I277" s="5" t="s">
        <v>2396</v>
      </c>
      <c r="K277" s="7" t="s">
        <v>765</v>
      </c>
    </row>
    <row r="278" spans="1:11" ht="25.5" customHeight="1">
      <c r="A278" s="6">
        <v>46083</v>
      </c>
      <c r="B278" s="5" t="s">
        <v>2399</v>
      </c>
      <c r="C278" s="5" t="s">
        <v>583</v>
      </c>
      <c r="D278" s="5" t="s">
        <v>2400</v>
      </c>
      <c r="E278" s="5" t="s">
        <v>2401</v>
      </c>
      <c r="G278" s="5" t="s">
        <v>2402</v>
      </c>
      <c r="H278" s="5" t="s">
        <v>2403</v>
      </c>
      <c r="I278" s="5" t="s">
        <v>2404</v>
      </c>
      <c r="K278" s="7" t="s">
        <v>2405</v>
      </c>
    </row>
  </sheetData>
  <autoFilter ref="A1:K1">
    <filterColumn colId="5"/>
    <sortState ref="A2:K66">
      <sortCondition ref="A1:A61"/>
    </sortState>
  </autoFilter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85"/>
  <sheetViews>
    <sheetView zoomScaleNormal="100" workbookViewId="0">
      <pane ySplit="1" topLeftCell="A2" activePane="bottomLeft" state="frozen"/>
      <selection pane="bottomLeft" activeCell="A6" sqref="A6:XFD6"/>
    </sheetView>
  </sheetViews>
  <sheetFormatPr defaultColWidth="9" defaultRowHeight="35.25" customHeight="1"/>
  <cols>
    <col min="1" max="1" width="14.375" style="16" customWidth="1"/>
    <col min="2" max="2" width="8.625" style="7" customWidth="1"/>
    <col min="3" max="3" width="11.875" style="7" customWidth="1"/>
    <col min="4" max="4" width="10.375" style="7" customWidth="1"/>
    <col min="5" max="5" width="11.5" style="7" customWidth="1"/>
    <col min="6" max="6" width="10.5" style="7" customWidth="1"/>
    <col min="7" max="7" width="12.875" style="7" customWidth="1"/>
    <col min="8" max="10" width="11.25" style="7" customWidth="1"/>
    <col min="11" max="11" width="42" style="7" customWidth="1"/>
    <col min="12" max="16384" width="9" style="11"/>
  </cols>
  <sheetData>
    <row r="1" spans="1:11" s="12" customFormat="1" ht="35.25" customHeight="1">
      <c r="A1" s="15" t="s">
        <v>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2084</v>
      </c>
      <c r="K1" s="4" t="s">
        <v>10</v>
      </c>
    </row>
    <row r="2" spans="1:11" ht="35.25" customHeight="1">
      <c r="A2" s="16">
        <v>45964</v>
      </c>
      <c r="B2" s="7" t="s">
        <v>41</v>
      </c>
      <c r="C2" s="7" t="s">
        <v>42</v>
      </c>
      <c r="D2" s="7" t="s">
        <v>43</v>
      </c>
      <c r="E2" s="7">
        <v>55</v>
      </c>
      <c r="F2" s="7" t="s">
        <v>44</v>
      </c>
      <c r="G2" s="7">
        <v>18981119477</v>
      </c>
      <c r="H2" s="7" t="s">
        <v>45</v>
      </c>
      <c r="I2" s="7" t="s">
        <v>46</v>
      </c>
      <c r="K2" s="7" t="s">
        <v>96</v>
      </c>
    </row>
    <row r="3" spans="1:11" ht="35.25" customHeight="1">
      <c r="A3" s="16">
        <v>45964</v>
      </c>
      <c r="B3" s="7" t="s">
        <v>41</v>
      </c>
      <c r="C3" s="9" t="s">
        <v>49</v>
      </c>
      <c r="D3" s="9" t="s">
        <v>43</v>
      </c>
      <c r="E3" s="7">
        <v>45</v>
      </c>
      <c r="F3" s="7" t="s">
        <v>55</v>
      </c>
      <c r="G3" s="7">
        <v>15228451643</v>
      </c>
      <c r="H3" s="9" t="s">
        <v>45</v>
      </c>
      <c r="I3" s="9" t="s">
        <v>47</v>
      </c>
      <c r="J3" s="9"/>
      <c r="K3" s="9" t="s">
        <v>48</v>
      </c>
    </row>
    <row r="4" spans="1:11" ht="35.25" customHeight="1">
      <c r="A4" s="16">
        <v>45964</v>
      </c>
      <c r="B4" s="7" t="s">
        <v>41</v>
      </c>
      <c r="C4" s="9" t="s">
        <v>52</v>
      </c>
      <c r="D4" s="9" t="s">
        <v>43</v>
      </c>
      <c r="E4" s="7">
        <v>47</v>
      </c>
      <c r="F4" s="7" t="s">
        <v>76</v>
      </c>
      <c r="G4" s="7">
        <v>15881619841</v>
      </c>
      <c r="H4" s="9" t="s">
        <v>50</v>
      </c>
      <c r="I4" s="9" t="s">
        <v>51</v>
      </c>
      <c r="J4" s="9"/>
      <c r="K4" s="9" t="s">
        <v>53</v>
      </c>
    </row>
    <row r="5" spans="1:11" ht="35.25" customHeight="1">
      <c r="A5" s="16">
        <v>45964</v>
      </c>
      <c r="B5" s="7" t="s">
        <v>41</v>
      </c>
      <c r="C5" s="9" t="s">
        <v>57</v>
      </c>
      <c r="D5" s="9" t="s">
        <v>43</v>
      </c>
      <c r="E5" s="7">
        <v>55</v>
      </c>
      <c r="F5" s="9" t="s">
        <v>44</v>
      </c>
      <c r="G5" s="7">
        <v>15308323561</v>
      </c>
      <c r="H5" s="9" t="s">
        <v>50</v>
      </c>
      <c r="I5" s="9" t="s">
        <v>56</v>
      </c>
      <c r="J5" s="9"/>
      <c r="K5" s="9" t="s">
        <v>97</v>
      </c>
    </row>
    <row r="6" spans="1:11" ht="35.25" customHeight="1">
      <c r="A6" s="16">
        <v>45964</v>
      </c>
      <c r="B6" s="7" t="s">
        <v>41</v>
      </c>
      <c r="C6" s="9" t="s">
        <v>58</v>
      </c>
      <c r="D6" s="9" t="s">
        <v>43</v>
      </c>
      <c r="E6" s="7">
        <v>57</v>
      </c>
      <c r="F6" s="9" t="s">
        <v>60</v>
      </c>
      <c r="G6" s="7">
        <v>15280963519</v>
      </c>
      <c r="H6" s="9" t="s">
        <v>45</v>
      </c>
      <c r="I6" s="9" t="s">
        <v>59</v>
      </c>
      <c r="J6" s="9"/>
      <c r="K6" s="9" t="s">
        <v>98</v>
      </c>
    </row>
    <row r="7" spans="1:11" ht="35.25" customHeight="1">
      <c r="A7" s="16">
        <v>45965</v>
      </c>
      <c r="B7" s="7" t="s">
        <v>41</v>
      </c>
      <c r="C7" s="9" t="s">
        <v>61</v>
      </c>
      <c r="D7" s="9" t="s">
        <v>66</v>
      </c>
      <c r="E7" s="7">
        <v>54</v>
      </c>
      <c r="F7" s="9" t="s">
        <v>62</v>
      </c>
      <c r="G7" s="7">
        <v>15881420031</v>
      </c>
      <c r="H7" s="9" t="s">
        <v>63</v>
      </c>
      <c r="I7" s="9" t="s">
        <v>64</v>
      </c>
      <c r="J7" s="9"/>
      <c r="K7" s="9" t="s">
        <v>65</v>
      </c>
    </row>
    <row r="8" spans="1:11" ht="35.25" customHeight="1">
      <c r="A8" s="16">
        <v>45965</v>
      </c>
      <c r="B8" s="7" t="s">
        <v>41</v>
      </c>
      <c r="C8" s="9" t="s">
        <v>69</v>
      </c>
      <c r="D8" s="9" t="s">
        <v>66</v>
      </c>
      <c r="E8" s="7">
        <v>59</v>
      </c>
      <c r="F8" s="9" t="s">
        <v>62</v>
      </c>
      <c r="G8" s="7">
        <v>15984639289</v>
      </c>
      <c r="H8" s="9" t="s">
        <v>90</v>
      </c>
      <c r="I8" s="9" t="s">
        <v>68</v>
      </c>
      <c r="J8" s="9"/>
      <c r="K8" s="9" t="s">
        <v>91</v>
      </c>
    </row>
    <row r="9" spans="1:11" ht="35.25" customHeight="1">
      <c r="A9" s="16">
        <v>45965</v>
      </c>
      <c r="B9" s="7" t="s">
        <v>41</v>
      </c>
      <c r="C9" s="9" t="s">
        <v>72</v>
      </c>
      <c r="D9" s="9" t="s">
        <v>66</v>
      </c>
      <c r="E9" s="9" t="s">
        <v>70</v>
      </c>
      <c r="F9" s="9" t="s">
        <v>71</v>
      </c>
      <c r="G9" s="7">
        <v>18781162419</v>
      </c>
      <c r="H9" s="9" t="s">
        <v>67</v>
      </c>
      <c r="I9" s="9" t="s">
        <v>64</v>
      </c>
      <c r="J9" s="9"/>
      <c r="K9" s="9" t="s">
        <v>73</v>
      </c>
    </row>
    <row r="10" spans="1:11" ht="35.25" customHeight="1">
      <c r="A10" s="16">
        <v>45965</v>
      </c>
      <c r="B10" s="7" t="s">
        <v>41</v>
      </c>
      <c r="C10" s="9" t="s">
        <v>74</v>
      </c>
      <c r="D10" s="9" t="s">
        <v>66</v>
      </c>
      <c r="E10" s="7">
        <v>59</v>
      </c>
      <c r="F10" s="9" t="s">
        <v>75</v>
      </c>
      <c r="G10" s="7">
        <v>15876125789</v>
      </c>
      <c r="H10" s="9" t="s">
        <v>67</v>
      </c>
      <c r="I10" s="9" t="s">
        <v>59</v>
      </c>
      <c r="J10" s="9"/>
      <c r="K10" s="9" t="s">
        <v>77</v>
      </c>
    </row>
    <row r="11" spans="1:11" ht="35.25" customHeight="1">
      <c r="A11" s="16">
        <v>45966</v>
      </c>
      <c r="B11" s="7" t="s">
        <v>41</v>
      </c>
      <c r="C11" s="7" t="s">
        <v>78</v>
      </c>
      <c r="D11" s="9" t="s">
        <v>66</v>
      </c>
      <c r="E11" s="7">
        <v>56</v>
      </c>
      <c r="F11" s="7" t="s">
        <v>76</v>
      </c>
      <c r="G11" s="7">
        <v>18011106164</v>
      </c>
      <c r="H11" s="9" t="s">
        <v>67</v>
      </c>
      <c r="I11" s="9" t="s">
        <v>59</v>
      </c>
      <c r="J11" s="9"/>
      <c r="K11" s="7" t="s">
        <v>79</v>
      </c>
    </row>
    <row r="12" spans="1:11" ht="35.25" customHeight="1">
      <c r="A12" s="16">
        <v>45966</v>
      </c>
      <c r="B12" s="7" t="s">
        <v>41</v>
      </c>
      <c r="C12" s="7" t="s">
        <v>80</v>
      </c>
      <c r="D12" s="7" t="s">
        <v>81</v>
      </c>
      <c r="E12" s="7">
        <v>55</v>
      </c>
      <c r="F12" s="7" t="s">
        <v>76</v>
      </c>
      <c r="G12" s="7">
        <v>15351250610</v>
      </c>
      <c r="H12" s="7" t="s">
        <v>82</v>
      </c>
      <c r="I12" s="7" t="s">
        <v>83</v>
      </c>
      <c r="K12" s="7" t="s">
        <v>399</v>
      </c>
    </row>
    <row r="13" spans="1:11" ht="35.25" customHeight="1">
      <c r="A13" s="16">
        <v>45966</v>
      </c>
      <c r="B13" s="7" t="s">
        <v>41</v>
      </c>
      <c r="C13" s="7" t="s">
        <v>84</v>
      </c>
      <c r="D13" s="7" t="s">
        <v>81</v>
      </c>
      <c r="E13" s="7">
        <v>39</v>
      </c>
      <c r="F13" s="7" t="s">
        <v>86</v>
      </c>
      <c r="G13" s="7">
        <v>13980124156</v>
      </c>
      <c r="H13" s="7" t="s">
        <v>82</v>
      </c>
      <c r="I13" s="7" t="s">
        <v>83</v>
      </c>
      <c r="K13" s="7" t="s">
        <v>85</v>
      </c>
    </row>
    <row r="14" spans="1:11" ht="35.25" customHeight="1">
      <c r="A14" s="16">
        <v>45966</v>
      </c>
      <c r="B14" s="7" t="s">
        <v>41</v>
      </c>
      <c r="C14" s="7" t="s">
        <v>89</v>
      </c>
      <c r="D14" s="7" t="s">
        <v>81</v>
      </c>
      <c r="E14" s="7">
        <v>52</v>
      </c>
      <c r="F14" s="7" t="s">
        <v>88</v>
      </c>
      <c r="G14" s="7">
        <v>19183628116</v>
      </c>
      <c r="H14" s="7" t="s">
        <v>82</v>
      </c>
      <c r="I14" s="7" t="s">
        <v>87</v>
      </c>
      <c r="K14" s="9" t="s">
        <v>124</v>
      </c>
    </row>
    <row r="15" spans="1:11" ht="35.25" customHeight="1">
      <c r="A15" s="16">
        <v>45967</v>
      </c>
      <c r="B15" s="7" t="s">
        <v>41</v>
      </c>
      <c r="C15" s="7" t="s">
        <v>92</v>
      </c>
      <c r="D15" s="7" t="s">
        <v>81</v>
      </c>
      <c r="E15" s="7">
        <v>55</v>
      </c>
      <c r="F15" s="7" t="s">
        <v>88</v>
      </c>
      <c r="G15" s="7">
        <v>15984694557</v>
      </c>
      <c r="H15" s="7" t="s">
        <v>93</v>
      </c>
      <c r="I15" s="7" t="s">
        <v>83</v>
      </c>
      <c r="K15" s="7" t="s">
        <v>94</v>
      </c>
    </row>
    <row r="16" spans="1:11" ht="35.25" customHeight="1">
      <c r="A16" s="16">
        <v>45968</v>
      </c>
      <c r="B16" s="7" t="s">
        <v>41</v>
      </c>
      <c r="C16" s="7" t="s">
        <v>100</v>
      </c>
      <c r="D16" s="7" t="s">
        <v>95</v>
      </c>
      <c r="E16" s="7">
        <v>51</v>
      </c>
      <c r="F16" s="7" t="s">
        <v>101</v>
      </c>
      <c r="G16" s="7">
        <v>17780159939</v>
      </c>
      <c r="H16" s="7" t="s">
        <v>102</v>
      </c>
      <c r="I16" s="7" t="s">
        <v>99</v>
      </c>
      <c r="K16" s="7" t="s">
        <v>103</v>
      </c>
    </row>
    <row r="17" spans="1:11" ht="35.25" customHeight="1">
      <c r="A17" s="16">
        <v>45968</v>
      </c>
      <c r="B17" s="7" t="s">
        <v>41</v>
      </c>
      <c r="C17" s="7" t="s">
        <v>104</v>
      </c>
      <c r="D17" s="7" t="s">
        <v>95</v>
      </c>
      <c r="E17" s="7">
        <v>55</v>
      </c>
      <c r="F17" s="7" t="s">
        <v>105</v>
      </c>
      <c r="G17" s="7">
        <v>13668331580</v>
      </c>
      <c r="H17" s="7" t="s">
        <v>102</v>
      </c>
      <c r="I17" s="7" t="s">
        <v>106</v>
      </c>
      <c r="K17" s="7" t="s">
        <v>107</v>
      </c>
    </row>
    <row r="18" spans="1:11" ht="35.25" customHeight="1">
      <c r="A18" s="17">
        <v>45971</v>
      </c>
      <c r="B18" s="7" t="s">
        <v>41</v>
      </c>
      <c r="C18" s="7" t="s">
        <v>109</v>
      </c>
      <c r="D18" s="7" t="s">
        <v>116</v>
      </c>
      <c r="E18" s="7">
        <v>56</v>
      </c>
      <c r="F18" s="7" t="s">
        <v>109</v>
      </c>
      <c r="G18" s="7">
        <v>19949548586</v>
      </c>
      <c r="H18" s="7" t="s">
        <v>45</v>
      </c>
      <c r="I18" s="7" t="s">
        <v>113</v>
      </c>
      <c r="K18" s="7" t="s">
        <v>107</v>
      </c>
    </row>
    <row r="19" spans="1:11" ht="35.25" customHeight="1">
      <c r="A19" s="17">
        <v>45971</v>
      </c>
      <c r="B19" s="7" t="s">
        <v>41</v>
      </c>
      <c r="C19" s="7" t="s">
        <v>110</v>
      </c>
      <c r="D19" s="7" t="s">
        <v>116</v>
      </c>
      <c r="E19" s="7">
        <v>56</v>
      </c>
      <c r="F19" s="7" t="s">
        <v>110</v>
      </c>
      <c r="G19" s="7">
        <v>18113419408</v>
      </c>
      <c r="H19" s="7" t="s">
        <v>115</v>
      </c>
      <c r="I19" s="7" t="s">
        <v>112</v>
      </c>
      <c r="K19" s="7" t="s">
        <v>114</v>
      </c>
    </row>
    <row r="20" spans="1:11" ht="35.25" customHeight="1">
      <c r="A20" s="17">
        <v>45971</v>
      </c>
      <c r="B20" s="7" t="s">
        <v>41</v>
      </c>
      <c r="C20" s="9" t="s">
        <v>117</v>
      </c>
      <c r="D20" s="9" t="s">
        <v>118</v>
      </c>
      <c r="E20" s="7">
        <v>53</v>
      </c>
      <c r="F20" s="9" t="s">
        <v>119</v>
      </c>
      <c r="G20" s="7">
        <v>19915965330</v>
      </c>
      <c r="H20" s="9" t="s">
        <v>120</v>
      </c>
      <c r="I20" s="9" t="s">
        <v>111</v>
      </c>
      <c r="J20" s="9"/>
      <c r="K20" s="9" t="s">
        <v>123</v>
      </c>
    </row>
    <row r="21" spans="1:11" ht="35.25" customHeight="1">
      <c r="A21" s="17">
        <v>45971</v>
      </c>
      <c r="B21" s="7" t="s">
        <v>41</v>
      </c>
      <c r="C21" s="9" t="s">
        <v>121</v>
      </c>
      <c r="D21" s="9" t="s">
        <v>118</v>
      </c>
      <c r="E21" s="7">
        <v>48</v>
      </c>
      <c r="F21" s="9" t="s">
        <v>122</v>
      </c>
      <c r="G21" s="7">
        <v>18084891780</v>
      </c>
      <c r="H21" s="9" t="s">
        <v>120</v>
      </c>
      <c r="I21" s="9" t="s">
        <v>111</v>
      </c>
      <c r="J21" s="9"/>
      <c r="K21" s="7" t="s">
        <v>259</v>
      </c>
    </row>
    <row r="22" spans="1:11" ht="35.25" customHeight="1">
      <c r="A22" s="17">
        <v>45971</v>
      </c>
      <c r="B22" s="7" t="s">
        <v>41</v>
      </c>
      <c r="C22" s="9" t="s">
        <v>126</v>
      </c>
      <c r="D22" s="9" t="s">
        <v>118</v>
      </c>
      <c r="E22" s="7">
        <v>51</v>
      </c>
      <c r="F22" s="9" t="s">
        <v>127</v>
      </c>
      <c r="G22" s="7">
        <v>18918956938</v>
      </c>
      <c r="H22" s="9" t="s">
        <v>120</v>
      </c>
      <c r="I22" s="9" t="s">
        <v>125</v>
      </c>
      <c r="J22" s="9"/>
      <c r="K22" s="9" t="s">
        <v>128</v>
      </c>
    </row>
    <row r="23" spans="1:11" ht="35.25" customHeight="1">
      <c r="A23" s="17">
        <v>45971</v>
      </c>
      <c r="B23" s="7" t="s">
        <v>41</v>
      </c>
      <c r="C23" s="9" t="s">
        <v>129</v>
      </c>
      <c r="D23" s="9" t="s">
        <v>118</v>
      </c>
      <c r="E23" s="7">
        <v>54</v>
      </c>
      <c r="F23" s="9" t="s">
        <v>929</v>
      </c>
      <c r="G23" s="7">
        <v>13228395923</v>
      </c>
      <c r="H23" s="9" t="s">
        <v>120</v>
      </c>
      <c r="I23" s="9" t="s">
        <v>125</v>
      </c>
      <c r="J23" s="9"/>
      <c r="K23" s="9" t="s">
        <v>930</v>
      </c>
    </row>
    <row r="24" spans="1:11" ht="35.25" customHeight="1">
      <c r="A24" s="17">
        <v>45971</v>
      </c>
      <c r="B24" s="7" t="s">
        <v>41</v>
      </c>
      <c r="C24" s="9" t="s">
        <v>130</v>
      </c>
      <c r="D24" s="9" t="s">
        <v>118</v>
      </c>
      <c r="E24" s="7">
        <v>51</v>
      </c>
      <c r="F24" s="9" t="s">
        <v>131</v>
      </c>
      <c r="G24" s="7">
        <v>15390252824</v>
      </c>
      <c r="H24" s="9" t="s">
        <v>115</v>
      </c>
      <c r="I24" s="9" t="s">
        <v>111</v>
      </c>
      <c r="J24" s="9"/>
      <c r="K24" s="9" t="s">
        <v>132</v>
      </c>
    </row>
    <row r="25" spans="1:11" ht="35.25" customHeight="1">
      <c r="A25" s="17">
        <v>45971</v>
      </c>
      <c r="B25" s="7" t="s">
        <v>41</v>
      </c>
      <c r="C25" s="9" t="s">
        <v>133</v>
      </c>
      <c r="D25" s="9" t="s">
        <v>118</v>
      </c>
      <c r="E25" s="7">
        <v>56</v>
      </c>
      <c r="F25" s="9" t="s">
        <v>136</v>
      </c>
      <c r="G25" s="7">
        <v>18380531580</v>
      </c>
      <c r="H25" s="9" t="s">
        <v>120</v>
      </c>
      <c r="I25" s="9" t="s">
        <v>134</v>
      </c>
      <c r="J25" s="9"/>
      <c r="K25" s="9" t="s">
        <v>135</v>
      </c>
    </row>
    <row r="26" spans="1:11" ht="35.25" customHeight="1">
      <c r="A26" s="16">
        <v>45972</v>
      </c>
      <c r="B26" s="7" t="s">
        <v>41</v>
      </c>
      <c r="C26" s="7" t="s">
        <v>138</v>
      </c>
      <c r="D26" s="9" t="s">
        <v>118</v>
      </c>
      <c r="E26" s="7" t="s">
        <v>148</v>
      </c>
      <c r="F26" s="7" t="s">
        <v>141</v>
      </c>
      <c r="G26" s="7">
        <v>15882853148</v>
      </c>
      <c r="H26" s="7" t="s">
        <v>139</v>
      </c>
      <c r="I26" s="9" t="s">
        <v>134</v>
      </c>
      <c r="J26" s="9"/>
      <c r="K26" s="7" t="s">
        <v>140</v>
      </c>
    </row>
    <row r="27" spans="1:11" ht="35.25" customHeight="1">
      <c r="A27" s="16">
        <v>45972</v>
      </c>
      <c r="B27" s="7" t="s">
        <v>41</v>
      </c>
      <c r="C27" s="7" t="s">
        <v>142</v>
      </c>
      <c r="D27" s="9" t="s">
        <v>118</v>
      </c>
      <c r="E27" s="7" t="s">
        <v>148</v>
      </c>
      <c r="F27" s="7" t="s">
        <v>137</v>
      </c>
      <c r="G27" s="7">
        <v>18281928250</v>
      </c>
      <c r="H27" s="7" t="s">
        <v>139</v>
      </c>
      <c r="I27" s="7" t="s">
        <v>143</v>
      </c>
      <c r="K27" s="7" t="s">
        <v>257</v>
      </c>
    </row>
    <row r="28" spans="1:11" ht="35.25" customHeight="1">
      <c r="A28" s="16">
        <v>45972</v>
      </c>
      <c r="B28" s="7" t="s">
        <v>41</v>
      </c>
      <c r="C28" s="7" t="s">
        <v>144</v>
      </c>
      <c r="D28" s="7" t="s">
        <v>147</v>
      </c>
      <c r="E28" s="7" t="s">
        <v>148</v>
      </c>
      <c r="F28" s="7" t="s">
        <v>137</v>
      </c>
      <c r="G28" s="7">
        <v>18780335236</v>
      </c>
      <c r="H28" s="7" t="s">
        <v>145</v>
      </c>
      <c r="I28" s="7" t="s">
        <v>143</v>
      </c>
      <c r="K28" s="7" t="s">
        <v>146</v>
      </c>
    </row>
    <row r="29" spans="1:11" ht="35.25" customHeight="1">
      <c r="A29" s="16">
        <v>45973</v>
      </c>
      <c r="B29" s="7" t="s">
        <v>41</v>
      </c>
      <c r="C29" s="7" t="s">
        <v>150</v>
      </c>
      <c r="D29" s="7" t="s">
        <v>151</v>
      </c>
      <c r="E29" s="7" t="s">
        <v>148</v>
      </c>
      <c r="F29" s="7" t="s">
        <v>149</v>
      </c>
      <c r="G29" s="7">
        <v>18881672494</v>
      </c>
      <c r="H29" s="7" t="s">
        <v>93</v>
      </c>
      <c r="I29" s="7" t="s">
        <v>143</v>
      </c>
      <c r="K29" s="7" t="s">
        <v>261</v>
      </c>
    </row>
    <row r="30" spans="1:11" ht="35.25" customHeight="1">
      <c r="A30" s="16">
        <v>45973</v>
      </c>
      <c r="B30" s="7" t="s">
        <v>41</v>
      </c>
      <c r="C30" s="7" t="s">
        <v>155</v>
      </c>
      <c r="D30" s="7" t="s">
        <v>151</v>
      </c>
      <c r="E30" s="7">
        <v>48</v>
      </c>
      <c r="F30" s="7" t="s">
        <v>152</v>
      </c>
      <c r="G30" s="7">
        <v>19150811601</v>
      </c>
      <c r="H30" s="7" t="s">
        <v>139</v>
      </c>
      <c r="I30" s="7" t="s">
        <v>153</v>
      </c>
      <c r="K30" s="7" t="s">
        <v>154</v>
      </c>
    </row>
    <row r="31" spans="1:11" ht="35.25" customHeight="1">
      <c r="A31" s="16">
        <v>45973</v>
      </c>
      <c r="B31" s="7" t="s">
        <v>41</v>
      </c>
      <c r="C31" s="7" t="s">
        <v>156</v>
      </c>
      <c r="D31" s="7" t="s">
        <v>151</v>
      </c>
      <c r="E31" s="7">
        <v>54</v>
      </c>
      <c r="F31" s="7" t="s">
        <v>157</v>
      </c>
      <c r="G31" s="7">
        <v>13198688711</v>
      </c>
      <c r="H31" s="7" t="s">
        <v>145</v>
      </c>
      <c r="I31" s="7" t="s">
        <v>143</v>
      </c>
      <c r="K31" s="7" t="s">
        <v>158</v>
      </c>
    </row>
    <row r="32" spans="1:11" ht="35.25" customHeight="1">
      <c r="A32" s="16">
        <v>45973</v>
      </c>
      <c r="B32" s="7" t="s">
        <v>41</v>
      </c>
      <c r="C32" s="7" t="s">
        <v>159</v>
      </c>
      <c r="D32" s="7" t="s">
        <v>151</v>
      </c>
      <c r="E32" s="7">
        <v>57</v>
      </c>
      <c r="F32" s="7" t="s">
        <v>160</v>
      </c>
      <c r="G32" s="7">
        <v>13378166766</v>
      </c>
      <c r="H32" s="7" t="s">
        <v>145</v>
      </c>
      <c r="I32" s="7" t="s">
        <v>143</v>
      </c>
      <c r="K32" s="7" t="s">
        <v>161</v>
      </c>
    </row>
    <row r="33" spans="1:11" ht="35.25" customHeight="1">
      <c r="A33" s="16">
        <v>45973</v>
      </c>
      <c r="B33" s="7" t="s">
        <v>41</v>
      </c>
      <c r="C33" s="7" t="s">
        <v>162</v>
      </c>
      <c r="D33" s="7" t="s">
        <v>151</v>
      </c>
      <c r="E33" s="7">
        <v>50</v>
      </c>
      <c r="F33" s="7" t="s">
        <v>163</v>
      </c>
      <c r="G33" s="7">
        <v>13981160749</v>
      </c>
      <c r="H33" s="7" t="s">
        <v>145</v>
      </c>
      <c r="I33" s="7" t="s">
        <v>143</v>
      </c>
      <c r="K33" s="7" t="s">
        <v>164</v>
      </c>
    </row>
    <row r="34" spans="1:11" ht="35.25" customHeight="1">
      <c r="A34" s="16">
        <v>45973</v>
      </c>
      <c r="B34" s="7" t="s">
        <v>41</v>
      </c>
      <c r="C34" s="7" t="s">
        <v>166</v>
      </c>
      <c r="D34" s="7" t="s">
        <v>151</v>
      </c>
      <c r="E34" s="7">
        <v>36</v>
      </c>
      <c r="F34" s="7" t="s">
        <v>165</v>
      </c>
      <c r="G34" s="7">
        <v>18144255412</v>
      </c>
      <c r="H34" s="7" t="s">
        <v>145</v>
      </c>
      <c r="I34" s="7" t="s">
        <v>143</v>
      </c>
      <c r="K34" s="7" t="s">
        <v>167</v>
      </c>
    </row>
    <row r="35" spans="1:11" ht="35.25" customHeight="1">
      <c r="A35" s="16">
        <v>45974</v>
      </c>
      <c r="B35" s="7" t="s">
        <v>41</v>
      </c>
      <c r="C35" s="7" t="s">
        <v>168</v>
      </c>
      <c r="D35" s="7" t="s">
        <v>172</v>
      </c>
      <c r="E35" s="7">
        <v>59</v>
      </c>
      <c r="F35" s="7" t="s">
        <v>44</v>
      </c>
      <c r="G35" s="7">
        <v>17608390118</v>
      </c>
      <c r="H35" s="7" t="s">
        <v>169</v>
      </c>
      <c r="I35" s="7" t="s">
        <v>170</v>
      </c>
      <c r="K35" s="7" t="s">
        <v>171</v>
      </c>
    </row>
    <row r="36" spans="1:11" ht="35.25" customHeight="1">
      <c r="A36" s="16">
        <v>45974</v>
      </c>
      <c r="B36" s="7" t="s">
        <v>41</v>
      </c>
      <c r="C36" s="7" t="s">
        <v>173</v>
      </c>
      <c r="D36" s="7" t="s">
        <v>177</v>
      </c>
      <c r="E36" s="7">
        <v>58</v>
      </c>
      <c r="F36" s="7" t="s">
        <v>176</v>
      </c>
      <c r="G36" s="7">
        <v>1996053196</v>
      </c>
      <c r="H36" s="7" t="s">
        <v>169</v>
      </c>
      <c r="I36" s="7" t="s">
        <v>174</v>
      </c>
      <c r="K36" s="7" t="s">
        <v>175</v>
      </c>
    </row>
    <row r="37" spans="1:11" ht="35.25" customHeight="1">
      <c r="A37" s="16">
        <v>45974</v>
      </c>
      <c r="B37" s="7" t="s">
        <v>41</v>
      </c>
      <c r="C37" s="7" t="s">
        <v>178</v>
      </c>
      <c r="D37" s="7" t="s">
        <v>177</v>
      </c>
      <c r="E37" s="7">
        <v>53</v>
      </c>
      <c r="F37" s="7" t="s">
        <v>176</v>
      </c>
      <c r="G37" s="7">
        <v>18380596286</v>
      </c>
      <c r="H37" s="7" t="s">
        <v>169</v>
      </c>
      <c r="I37" s="7" t="s">
        <v>179</v>
      </c>
      <c r="K37" s="7" t="s">
        <v>180</v>
      </c>
    </row>
    <row r="38" spans="1:11" ht="35.25" customHeight="1">
      <c r="A38" s="16">
        <v>45975</v>
      </c>
      <c r="B38" s="7" t="s">
        <v>41</v>
      </c>
      <c r="C38" s="7" t="s">
        <v>182</v>
      </c>
      <c r="D38" s="7" t="s">
        <v>183</v>
      </c>
      <c r="E38" s="7">
        <v>49</v>
      </c>
      <c r="F38" s="7" t="s">
        <v>184</v>
      </c>
      <c r="G38" s="7">
        <v>13989273139</v>
      </c>
      <c r="H38" s="7" t="s">
        <v>185</v>
      </c>
      <c r="I38" s="7" t="s">
        <v>181</v>
      </c>
      <c r="K38" s="7" t="s">
        <v>186</v>
      </c>
    </row>
    <row r="39" spans="1:11" ht="35.25" customHeight="1">
      <c r="A39" s="16">
        <v>45975</v>
      </c>
      <c r="B39" s="7" t="s">
        <v>41</v>
      </c>
      <c r="C39" s="7" t="s">
        <v>187</v>
      </c>
      <c r="D39" s="7" t="s">
        <v>183</v>
      </c>
      <c r="E39" s="7">
        <v>50</v>
      </c>
      <c r="F39" s="7" t="s">
        <v>189</v>
      </c>
      <c r="G39" s="7">
        <v>13811699909</v>
      </c>
      <c r="H39" s="7" t="s">
        <v>188</v>
      </c>
      <c r="I39" s="7" t="s">
        <v>181</v>
      </c>
      <c r="K39" s="7" t="s">
        <v>190</v>
      </c>
    </row>
    <row r="40" spans="1:11" ht="35.25" customHeight="1">
      <c r="A40" s="16">
        <v>45975</v>
      </c>
      <c r="B40" s="7" t="s">
        <v>41</v>
      </c>
      <c r="C40" s="7" t="s">
        <v>191</v>
      </c>
      <c r="D40" s="7" t="s">
        <v>183</v>
      </c>
      <c r="E40" s="7">
        <v>53</v>
      </c>
      <c r="F40" s="7" t="s">
        <v>193</v>
      </c>
      <c r="G40" s="7">
        <v>15386627609</v>
      </c>
      <c r="H40" s="7" t="s">
        <v>188</v>
      </c>
      <c r="I40" s="7" t="s">
        <v>192</v>
      </c>
      <c r="K40" s="7" t="s">
        <v>194</v>
      </c>
    </row>
    <row r="41" spans="1:11" ht="35.25" customHeight="1">
      <c r="A41" s="16">
        <v>45975</v>
      </c>
      <c r="B41" s="7" t="s">
        <v>41</v>
      </c>
      <c r="C41" s="7" t="s">
        <v>198</v>
      </c>
      <c r="D41" s="7" t="s">
        <v>183</v>
      </c>
      <c r="E41" s="7">
        <v>53</v>
      </c>
      <c r="F41" s="7" t="s">
        <v>196</v>
      </c>
      <c r="G41" s="7">
        <v>15883514693</v>
      </c>
      <c r="H41" s="7" t="s">
        <v>185</v>
      </c>
      <c r="I41" s="7" t="s">
        <v>195</v>
      </c>
      <c r="K41" s="7" t="s">
        <v>197</v>
      </c>
    </row>
    <row r="42" spans="1:11" ht="35.25" customHeight="1">
      <c r="A42" s="16">
        <v>45975</v>
      </c>
      <c r="B42" s="7" t="s">
        <v>41</v>
      </c>
      <c r="C42" s="7" t="s">
        <v>199</v>
      </c>
      <c r="D42" s="7" t="s">
        <v>183</v>
      </c>
      <c r="E42" s="7">
        <v>54</v>
      </c>
      <c r="F42" s="7" t="s">
        <v>200</v>
      </c>
      <c r="G42" s="7">
        <v>18030994616</v>
      </c>
      <c r="H42" s="7" t="s">
        <v>188</v>
      </c>
      <c r="I42" s="7" t="s">
        <v>195</v>
      </c>
      <c r="K42" s="7" t="s">
        <v>201</v>
      </c>
    </row>
    <row r="43" spans="1:11" ht="35.25" customHeight="1">
      <c r="A43" s="16">
        <v>45975</v>
      </c>
      <c r="B43" s="7" t="s">
        <v>41</v>
      </c>
      <c r="C43" s="7" t="s">
        <v>202</v>
      </c>
      <c r="D43" s="7" t="s">
        <v>183</v>
      </c>
      <c r="E43" s="7">
        <v>53</v>
      </c>
      <c r="F43" s="7" t="s">
        <v>203</v>
      </c>
      <c r="G43" s="7">
        <v>15181652098</v>
      </c>
      <c r="H43" s="7" t="s">
        <v>185</v>
      </c>
      <c r="I43" s="7" t="s">
        <v>195</v>
      </c>
      <c r="K43" s="7" t="s">
        <v>207</v>
      </c>
    </row>
    <row r="44" spans="1:11" ht="35.25" customHeight="1">
      <c r="A44" s="16">
        <v>45975</v>
      </c>
      <c r="B44" s="7" t="s">
        <v>41</v>
      </c>
      <c r="C44" s="7" t="s">
        <v>204</v>
      </c>
      <c r="D44" s="7" t="s">
        <v>183</v>
      </c>
      <c r="E44" s="7">
        <v>51</v>
      </c>
      <c r="F44" s="7" t="s">
        <v>205</v>
      </c>
      <c r="G44" s="7">
        <v>15984663785</v>
      </c>
      <c r="H44" s="7" t="s">
        <v>185</v>
      </c>
      <c r="I44" s="7" t="s">
        <v>192</v>
      </c>
      <c r="K44" s="7" t="s">
        <v>206</v>
      </c>
    </row>
    <row r="45" spans="1:11" ht="35.25" customHeight="1">
      <c r="A45" s="16">
        <v>45975</v>
      </c>
      <c r="B45" s="7" t="s">
        <v>41</v>
      </c>
      <c r="C45" s="7" t="s">
        <v>208</v>
      </c>
      <c r="D45" s="7" t="s">
        <v>183</v>
      </c>
      <c r="E45" s="7">
        <v>34</v>
      </c>
      <c r="F45" s="7" t="s">
        <v>209</v>
      </c>
      <c r="G45" s="7">
        <v>17390111993</v>
      </c>
      <c r="H45" s="7" t="s">
        <v>188</v>
      </c>
      <c r="I45" s="7" t="s">
        <v>192</v>
      </c>
      <c r="K45" s="7" t="s">
        <v>210</v>
      </c>
    </row>
    <row r="46" spans="1:11" ht="35.25" customHeight="1">
      <c r="A46" s="16">
        <v>45975</v>
      </c>
      <c r="B46" s="7" t="s">
        <v>41</v>
      </c>
      <c r="C46" s="7" t="s">
        <v>211</v>
      </c>
      <c r="D46" s="7" t="s">
        <v>183</v>
      </c>
      <c r="E46" s="7">
        <v>49</v>
      </c>
      <c r="F46" s="7" t="s">
        <v>213</v>
      </c>
      <c r="G46" s="7">
        <v>15908220373</v>
      </c>
      <c r="H46" s="7" t="s">
        <v>188</v>
      </c>
      <c r="I46" s="7" t="s">
        <v>212</v>
      </c>
      <c r="K46" s="7" t="s">
        <v>214</v>
      </c>
    </row>
    <row r="47" spans="1:11" ht="35.25" customHeight="1">
      <c r="A47" s="16">
        <v>45976</v>
      </c>
      <c r="B47" s="7" t="s">
        <v>41</v>
      </c>
      <c r="C47" s="7" t="s">
        <v>215</v>
      </c>
      <c r="D47" s="7" t="s">
        <v>220</v>
      </c>
      <c r="E47" s="7">
        <v>54</v>
      </c>
      <c r="F47" s="7" t="s">
        <v>219</v>
      </c>
      <c r="G47" s="7">
        <v>13350951569</v>
      </c>
      <c r="H47" s="7" t="s">
        <v>217</v>
      </c>
      <c r="I47" s="7" t="s">
        <v>218</v>
      </c>
      <c r="K47" s="7" t="s">
        <v>216</v>
      </c>
    </row>
    <row r="48" spans="1:11" ht="35.25" customHeight="1">
      <c r="A48" s="16">
        <v>45976</v>
      </c>
      <c r="B48" s="7" t="s">
        <v>41</v>
      </c>
      <c r="C48" s="7" t="s">
        <v>221</v>
      </c>
      <c r="D48" s="7" t="s">
        <v>223</v>
      </c>
      <c r="E48" s="7" t="s">
        <v>148</v>
      </c>
      <c r="F48" s="7" t="s">
        <v>221</v>
      </c>
      <c r="G48" s="7">
        <v>13981141040</v>
      </c>
      <c r="H48" s="7" t="s">
        <v>217</v>
      </c>
      <c r="I48" s="7" t="s">
        <v>222</v>
      </c>
      <c r="K48" s="7" t="s">
        <v>352</v>
      </c>
    </row>
    <row r="49" spans="1:11" ht="35.25" customHeight="1">
      <c r="A49" s="16">
        <v>45976</v>
      </c>
      <c r="B49" s="7" t="s">
        <v>41</v>
      </c>
      <c r="C49" s="7" t="s">
        <v>224</v>
      </c>
      <c r="D49" s="7" t="s">
        <v>220</v>
      </c>
      <c r="E49" s="7">
        <v>46</v>
      </c>
      <c r="F49" s="7" t="s">
        <v>225</v>
      </c>
      <c r="G49" s="7">
        <v>15196281851</v>
      </c>
      <c r="H49" s="7" t="s">
        <v>217</v>
      </c>
      <c r="I49" s="7" t="s">
        <v>226</v>
      </c>
      <c r="K49" s="7" t="s">
        <v>227</v>
      </c>
    </row>
    <row r="50" spans="1:11" ht="35.25" customHeight="1">
      <c r="A50" s="16">
        <v>45976</v>
      </c>
      <c r="B50" s="7" t="s">
        <v>41</v>
      </c>
      <c r="C50" s="7" t="s">
        <v>228</v>
      </c>
      <c r="D50" s="7" t="s">
        <v>220</v>
      </c>
      <c r="E50" s="7">
        <v>55</v>
      </c>
      <c r="F50" s="7" t="s">
        <v>230</v>
      </c>
      <c r="G50" s="7">
        <v>13689682467</v>
      </c>
      <c r="H50" s="7" t="s">
        <v>217</v>
      </c>
      <c r="I50" s="7" t="s">
        <v>64</v>
      </c>
      <c r="K50" s="7" t="s">
        <v>229</v>
      </c>
    </row>
    <row r="51" spans="1:11" ht="35.25" customHeight="1">
      <c r="A51" s="16">
        <v>45978</v>
      </c>
      <c r="B51" s="7" t="s">
        <v>41</v>
      </c>
      <c r="C51" s="7" t="s">
        <v>233</v>
      </c>
      <c r="D51" s="7" t="s">
        <v>234</v>
      </c>
      <c r="E51" s="7">
        <v>53</v>
      </c>
      <c r="F51" s="7" t="s">
        <v>235</v>
      </c>
      <c r="G51" s="7">
        <v>17378521460</v>
      </c>
      <c r="H51" s="7" t="s">
        <v>236</v>
      </c>
      <c r="I51" s="7" t="s">
        <v>232</v>
      </c>
      <c r="K51" s="7" t="s">
        <v>237</v>
      </c>
    </row>
    <row r="52" spans="1:11" ht="35.25" customHeight="1">
      <c r="A52" s="16">
        <v>45978</v>
      </c>
      <c r="B52" s="7" t="s">
        <v>41</v>
      </c>
      <c r="C52" s="7" t="s">
        <v>239</v>
      </c>
      <c r="D52" s="9" t="s">
        <v>234</v>
      </c>
      <c r="E52" s="7">
        <v>52</v>
      </c>
      <c r="F52" s="9" t="s">
        <v>231</v>
      </c>
      <c r="G52" s="9">
        <v>19982713605</v>
      </c>
      <c r="H52" s="9" t="s">
        <v>236</v>
      </c>
      <c r="I52" s="9" t="s">
        <v>238</v>
      </c>
      <c r="J52" s="9"/>
      <c r="K52" s="9" t="s">
        <v>240</v>
      </c>
    </row>
    <row r="53" spans="1:11" ht="35.25" customHeight="1">
      <c r="A53" s="16">
        <v>45978</v>
      </c>
      <c r="B53" s="7" t="s">
        <v>41</v>
      </c>
      <c r="C53" s="7" t="s">
        <v>241</v>
      </c>
      <c r="D53" s="9" t="s">
        <v>234</v>
      </c>
      <c r="E53" s="7">
        <v>56</v>
      </c>
      <c r="F53" s="9" t="s">
        <v>242</v>
      </c>
      <c r="G53" s="7">
        <v>13778167898</v>
      </c>
      <c r="H53" s="9" t="s">
        <v>236</v>
      </c>
      <c r="I53" s="9" t="s">
        <v>243</v>
      </c>
      <c r="J53" s="9"/>
      <c r="K53" s="9" t="s">
        <v>244</v>
      </c>
    </row>
    <row r="54" spans="1:11" ht="35.25" customHeight="1">
      <c r="A54" s="16">
        <v>45978</v>
      </c>
      <c r="B54" s="7" t="s">
        <v>41</v>
      </c>
      <c r="C54" s="7" t="s">
        <v>245</v>
      </c>
      <c r="D54" s="9" t="s">
        <v>234</v>
      </c>
      <c r="E54" s="7">
        <v>53</v>
      </c>
      <c r="F54" s="9" t="s">
        <v>247</v>
      </c>
      <c r="G54" s="7">
        <v>17308155556</v>
      </c>
      <c r="H54" s="9" t="s">
        <v>236</v>
      </c>
      <c r="I54" s="9" t="s">
        <v>243</v>
      </c>
      <c r="J54" s="9"/>
      <c r="K54" s="9" t="s">
        <v>246</v>
      </c>
    </row>
    <row r="55" spans="1:11" ht="35.25" customHeight="1">
      <c r="A55" s="16">
        <v>45978</v>
      </c>
      <c r="B55" s="7" t="s">
        <v>41</v>
      </c>
      <c r="C55" s="9" t="s">
        <v>248</v>
      </c>
      <c r="D55" s="9" t="s">
        <v>234</v>
      </c>
      <c r="E55" s="7">
        <v>53</v>
      </c>
      <c r="F55" s="9" t="s">
        <v>250</v>
      </c>
      <c r="G55" s="7">
        <v>18780322729</v>
      </c>
      <c r="H55" s="9" t="s">
        <v>236</v>
      </c>
      <c r="I55" s="9" t="s">
        <v>249</v>
      </c>
      <c r="J55" s="9"/>
      <c r="K55" s="9" t="s">
        <v>251</v>
      </c>
    </row>
    <row r="56" spans="1:11" ht="35.25" customHeight="1">
      <c r="A56" s="16">
        <v>45979</v>
      </c>
      <c r="B56" s="7" t="s">
        <v>41</v>
      </c>
      <c r="C56" s="7" t="s">
        <v>255</v>
      </c>
      <c r="D56" s="9" t="s">
        <v>256</v>
      </c>
      <c r="E56" s="7">
        <v>60</v>
      </c>
      <c r="F56" s="7" t="s">
        <v>252</v>
      </c>
      <c r="G56" s="7">
        <v>15181692235</v>
      </c>
      <c r="H56" s="7" t="s">
        <v>253</v>
      </c>
      <c r="I56" s="7" t="s">
        <v>254</v>
      </c>
      <c r="K56" s="7" t="s">
        <v>260</v>
      </c>
    </row>
    <row r="57" spans="1:11" ht="35.25" customHeight="1">
      <c r="A57" s="16">
        <v>45979</v>
      </c>
      <c r="B57" s="7" t="s">
        <v>41</v>
      </c>
      <c r="C57" s="7" t="s">
        <v>262</v>
      </c>
      <c r="D57" s="7" t="s">
        <v>256</v>
      </c>
      <c r="E57" s="7">
        <v>50</v>
      </c>
      <c r="F57" s="7" t="s">
        <v>258</v>
      </c>
      <c r="G57" s="7">
        <v>15228304280</v>
      </c>
      <c r="H57" s="7" t="s">
        <v>263</v>
      </c>
      <c r="I57" s="7" t="s">
        <v>264</v>
      </c>
      <c r="K57" s="7" t="s">
        <v>265</v>
      </c>
    </row>
    <row r="58" spans="1:11" ht="35.25" customHeight="1">
      <c r="A58" s="16">
        <v>45979</v>
      </c>
      <c r="B58" s="7" t="s">
        <v>41</v>
      </c>
      <c r="C58" s="7" t="s">
        <v>266</v>
      </c>
      <c r="D58" s="7" t="s">
        <v>256</v>
      </c>
      <c r="E58" s="7">
        <v>37</v>
      </c>
      <c r="F58" s="7" t="s">
        <v>258</v>
      </c>
      <c r="G58" s="7">
        <v>19218396058</v>
      </c>
      <c r="H58" s="7" t="s">
        <v>263</v>
      </c>
      <c r="I58" s="7" t="s">
        <v>264</v>
      </c>
      <c r="K58" s="7" t="s">
        <v>267</v>
      </c>
    </row>
    <row r="59" spans="1:11" ht="35.25" customHeight="1">
      <c r="A59" s="16">
        <v>45979</v>
      </c>
      <c r="B59" s="7" t="s">
        <v>41</v>
      </c>
      <c r="C59" s="7" t="s">
        <v>270</v>
      </c>
      <c r="D59" s="7" t="s">
        <v>256</v>
      </c>
      <c r="E59" s="7">
        <v>47</v>
      </c>
      <c r="F59" s="7" t="s">
        <v>269</v>
      </c>
      <c r="G59" s="7">
        <v>19160925758</v>
      </c>
      <c r="H59" s="7" t="s">
        <v>253</v>
      </c>
      <c r="I59" s="7" t="s">
        <v>64</v>
      </c>
      <c r="K59" s="7" t="s">
        <v>271</v>
      </c>
    </row>
    <row r="60" spans="1:11" ht="35.25" customHeight="1">
      <c r="A60" s="16">
        <v>45980</v>
      </c>
      <c r="B60" s="7" t="s">
        <v>41</v>
      </c>
      <c r="C60" s="7" t="s">
        <v>272</v>
      </c>
      <c r="D60" s="7" t="s">
        <v>273</v>
      </c>
      <c r="E60" s="7">
        <v>55</v>
      </c>
      <c r="F60" s="7" t="s">
        <v>274</v>
      </c>
      <c r="G60" s="7">
        <v>18550992902</v>
      </c>
      <c r="H60" s="7" t="s">
        <v>275</v>
      </c>
      <c r="I60" s="7" t="s">
        <v>276</v>
      </c>
      <c r="K60" s="7" t="s">
        <v>277</v>
      </c>
    </row>
    <row r="61" spans="1:11" ht="35.25" customHeight="1">
      <c r="A61" s="16">
        <v>45980</v>
      </c>
      <c r="B61" s="7" t="s">
        <v>41</v>
      </c>
      <c r="C61" s="7" t="s">
        <v>292</v>
      </c>
      <c r="D61" s="7" t="s">
        <v>278</v>
      </c>
      <c r="E61" s="7">
        <v>54</v>
      </c>
      <c r="F61" s="7" t="s">
        <v>279</v>
      </c>
      <c r="G61" s="7">
        <v>13258425599</v>
      </c>
      <c r="H61" s="7" t="s">
        <v>275</v>
      </c>
      <c r="I61" s="7" t="s">
        <v>276</v>
      </c>
      <c r="K61" s="7" t="s">
        <v>280</v>
      </c>
    </row>
    <row r="62" spans="1:11" ht="35.25" customHeight="1">
      <c r="A62" s="16">
        <v>45980</v>
      </c>
      <c r="B62" s="7" t="s">
        <v>41</v>
      </c>
      <c r="C62" s="7" t="s">
        <v>283</v>
      </c>
      <c r="D62" s="7" t="s">
        <v>278</v>
      </c>
      <c r="E62" s="7">
        <v>49</v>
      </c>
      <c r="F62" s="7" t="s">
        <v>282</v>
      </c>
      <c r="G62" s="7">
        <v>15983830553</v>
      </c>
      <c r="H62" s="7" t="s">
        <v>275</v>
      </c>
      <c r="I62" s="7" t="s">
        <v>276</v>
      </c>
      <c r="K62" s="7" t="s">
        <v>281</v>
      </c>
    </row>
    <row r="63" spans="1:11" ht="35.25" customHeight="1">
      <c r="A63" s="16">
        <v>45980</v>
      </c>
      <c r="B63" s="7" t="s">
        <v>41</v>
      </c>
      <c r="C63" s="7" t="s">
        <v>284</v>
      </c>
      <c r="D63" s="7" t="s">
        <v>278</v>
      </c>
      <c r="E63" s="7">
        <v>53</v>
      </c>
      <c r="F63" s="7" t="s">
        <v>291</v>
      </c>
      <c r="G63" s="7">
        <v>15181680467</v>
      </c>
      <c r="H63" s="7" t="s">
        <v>275</v>
      </c>
      <c r="I63" s="7" t="s">
        <v>285</v>
      </c>
      <c r="K63" s="7" t="s">
        <v>286</v>
      </c>
    </row>
    <row r="64" spans="1:11" ht="35.25" customHeight="1">
      <c r="A64" s="16">
        <v>45980</v>
      </c>
      <c r="B64" s="7" t="s">
        <v>41</v>
      </c>
      <c r="C64" s="7" t="s">
        <v>287</v>
      </c>
      <c r="D64" s="7" t="s">
        <v>278</v>
      </c>
      <c r="E64" s="7">
        <v>52</v>
      </c>
      <c r="F64" s="7" t="s">
        <v>288</v>
      </c>
      <c r="G64" s="7">
        <v>17386730218</v>
      </c>
      <c r="H64" s="7" t="s">
        <v>289</v>
      </c>
      <c r="I64" s="7" t="s">
        <v>285</v>
      </c>
      <c r="K64" s="7" t="s">
        <v>290</v>
      </c>
    </row>
    <row r="65" spans="1:11" ht="35.25" customHeight="1">
      <c r="A65" s="16">
        <v>45980</v>
      </c>
      <c r="B65" s="7" t="s">
        <v>41</v>
      </c>
      <c r="C65" s="7" t="s">
        <v>294</v>
      </c>
      <c r="D65" s="7" t="s">
        <v>278</v>
      </c>
      <c r="E65" s="7">
        <v>56</v>
      </c>
      <c r="F65" s="7" t="s">
        <v>279</v>
      </c>
      <c r="G65" s="7">
        <v>18161062577</v>
      </c>
      <c r="H65" s="7" t="s">
        <v>275</v>
      </c>
      <c r="I65" s="7" t="s">
        <v>276</v>
      </c>
      <c r="K65" s="7" t="s">
        <v>293</v>
      </c>
    </row>
    <row r="66" spans="1:11" ht="35.25" customHeight="1">
      <c r="A66" s="16">
        <v>45981</v>
      </c>
      <c r="B66" s="7" t="s">
        <v>41</v>
      </c>
      <c r="C66" s="7" t="s">
        <v>295</v>
      </c>
      <c r="D66" s="7" t="s">
        <v>298</v>
      </c>
      <c r="E66" s="7">
        <v>53</v>
      </c>
      <c r="F66" s="7" t="s">
        <v>297</v>
      </c>
      <c r="G66" s="7">
        <v>18157360231</v>
      </c>
      <c r="H66" s="7" t="s">
        <v>296</v>
      </c>
      <c r="I66" s="7" t="s">
        <v>276</v>
      </c>
      <c r="K66" s="9" t="s">
        <v>332</v>
      </c>
    </row>
    <row r="67" spans="1:11" ht="35.25" customHeight="1">
      <c r="A67" s="16">
        <v>45981</v>
      </c>
      <c r="B67" s="7" t="s">
        <v>41</v>
      </c>
      <c r="C67" s="7" t="s">
        <v>299</v>
      </c>
      <c r="D67" s="7" t="s">
        <v>298</v>
      </c>
      <c r="E67" s="7">
        <v>29</v>
      </c>
      <c r="F67" s="7" t="s">
        <v>301</v>
      </c>
      <c r="G67" s="7">
        <v>18328348904</v>
      </c>
      <c r="H67" s="7" t="s">
        <v>300</v>
      </c>
      <c r="I67" s="7" t="s">
        <v>302</v>
      </c>
      <c r="K67" s="7" t="s">
        <v>303</v>
      </c>
    </row>
    <row r="68" spans="1:11" ht="35.25" customHeight="1">
      <c r="A68" s="16">
        <v>45981</v>
      </c>
      <c r="B68" s="7" t="s">
        <v>41</v>
      </c>
      <c r="C68" s="7" t="s">
        <v>304</v>
      </c>
      <c r="D68" s="7" t="s">
        <v>298</v>
      </c>
      <c r="E68" s="7">
        <v>41</v>
      </c>
      <c r="F68" s="7" t="s">
        <v>305</v>
      </c>
      <c r="G68" s="7">
        <v>15008193241</v>
      </c>
      <c r="H68" s="7" t="s">
        <v>300</v>
      </c>
      <c r="I68" s="7" t="s">
        <v>306</v>
      </c>
      <c r="K68" s="7" t="s">
        <v>307</v>
      </c>
    </row>
    <row r="69" spans="1:11" ht="35.25" customHeight="1">
      <c r="A69" s="16">
        <v>45981</v>
      </c>
      <c r="B69" s="7" t="s">
        <v>41</v>
      </c>
      <c r="C69" s="7" t="s">
        <v>308</v>
      </c>
      <c r="D69" s="7" t="s">
        <v>309</v>
      </c>
      <c r="E69" s="7">
        <v>59</v>
      </c>
      <c r="F69" s="7" t="s">
        <v>321</v>
      </c>
      <c r="G69" s="7">
        <v>18034776278</v>
      </c>
      <c r="H69" s="7" t="s">
        <v>296</v>
      </c>
      <c r="I69" s="7" t="s">
        <v>64</v>
      </c>
      <c r="K69" s="7" t="s">
        <v>310</v>
      </c>
    </row>
    <row r="70" spans="1:11" ht="35.25" customHeight="1">
      <c r="A70" s="16">
        <v>45981</v>
      </c>
      <c r="B70" s="7" t="s">
        <v>41</v>
      </c>
      <c r="C70" s="7" t="s">
        <v>312</v>
      </c>
      <c r="D70" s="7" t="s">
        <v>298</v>
      </c>
      <c r="E70" s="7">
        <v>51</v>
      </c>
      <c r="F70" s="7" t="s">
        <v>311</v>
      </c>
      <c r="G70" s="7">
        <v>15281601311</v>
      </c>
      <c r="H70" s="7" t="s">
        <v>296</v>
      </c>
      <c r="I70" s="7" t="s">
        <v>306</v>
      </c>
      <c r="K70" s="7" t="s">
        <v>322</v>
      </c>
    </row>
    <row r="71" spans="1:11" ht="35.25" customHeight="1">
      <c r="A71" s="16">
        <v>45981</v>
      </c>
      <c r="B71" s="7" t="s">
        <v>41</v>
      </c>
      <c r="C71" s="7" t="s">
        <v>313</v>
      </c>
      <c r="D71" s="7" t="s">
        <v>298</v>
      </c>
      <c r="E71" s="7">
        <v>50</v>
      </c>
      <c r="F71" s="7" t="s">
        <v>314</v>
      </c>
      <c r="G71" s="7">
        <v>15908244878</v>
      </c>
      <c r="H71" s="7" t="s">
        <v>300</v>
      </c>
      <c r="I71" s="7" t="s">
        <v>315</v>
      </c>
      <c r="K71" s="7" t="s">
        <v>316</v>
      </c>
    </row>
    <row r="72" spans="1:11" ht="35.25" customHeight="1">
      <c r="A72" s="16">
        <v>45981</v>
      </c>
      <c r="B72" s="7" t="s">
        <v>41</v>
      </c>
      <c r="C72" s="7" t="s">
        <v>320</v>
      </c>
      <c r="D72" s="7" t="s">
        <v>298</v>
      </c>
      <c r="E72" s="7">
        <v>58</v>
      </c>
      <c r="F72" s="7" t="s">
        <v>319</v>
      </c>
      <c r="G72" s="7">
        <v>18990199985</v>
      </c>
      <c r="H72" s="7" t="s">
        <v>296</v>
      </c>
      <c r="I72" s="7" t="s">
        <v>317</v>
      </c>
      <c r="K72" s="7" t="s">
        <v>318</v>
      </c>
    </row>
    <row r="73" spans="1:11" ht="35.25" customHeight="1">
      <c r="A73" s="16">
        <v>45981</v>
      </c>
      <c r="B73" s="7" t="s">
        <v>41</v>
      </c>
      <c r="C73" s="7" t="s">
        <v>323</v>
      </c>
      <c r="D73" s="7" t="s">
        <v>298</v>
      </c>
      <c r="E73" s="7">
        <v>46</v>
      </c>
      <c r="F73" s="7" t="s">
        <v>324</v>
      </c>
      <c r="G73" s="7">
        <v>13508110921</v>
      </c>
      <c r="H73" s="7" t="s">
        <v>296</v>
      </c>
      <c r="I73" s="7" t="s">
        <v>306</v>
      </c>
      <c r="K73" s="7" t="s">
        <v>327</v>
      </c>
    </row>
    <row r="74" spans="1:11" ht="35.25" customHeight="1">
      <c r="A74" s="16">
        <v>45981</v>
      </c>
      <c r="B74" s="7" t="s">
        <v>41</v>
      </c>
      <c r="C74" s="7" t="s">
        <v>325</v>
      </c>
      <c r="D74" s="7" t="s">
        <v>298</v>
      </c>
      <c r="E74" s="7">
        <v>56</v>
      </c>
      <c r="F74" s="7" t="s">
        <v>326</v>
      </c>
      <c r="G74" s="7">
        <v>18180167556</v>
      </c>
      <c r="H74" s="7" t="s">
        <v>296</v>
      </c>
      <c r="I74" s="7" t="s">
        <v>315</v>
      </c>
      <c r="K74" s="7" t="s">
        <v>328</v>
      </c>
    </row>
    <row r="75" spans="1:11" ht="35.25" customHeight="1">
      <c r="A75" s="16">
        <v>45981</v>
      </c>
      <c r="B75" s="7" t="s">
        <v>41</v>
      </c>
      <c r="C75" s="7" t="s">
        <v>329</v>
      </c>
      <c r="D75" s="7" t="s">
        <v>298</v>
      </c>
      <c r="E75" s="7">
        <v>51</v>
      </c>
      <c r="F75" s="7" t="s">
        <v>330</v>
      </c>
      <c r="G75" s="7">
        <v>18026488842</v>
      </c>
      <c r="H75" s="7" t="s">
        <v>296</v>
      </c>
      <c r="I75" s="7" t="s">
        <v>315</v>
      </c>
      <c r="K75" s="7" t="s">
        <v>331</v>
      </c>
    </row>
    <row r="76" spans="1:11" ht="35.25" customHeight="1">
      <c r="A76" s="16">
        <v>45982</v>
      </c>
      <c r="B76" s="7" t="s">
        <v>41</v>
      </c>
      <c r="C76" s="9" t="s">
        <v>333</v>
      </c>
      <c r="D76" s="7" t="s">
        <v>337</v>
      </c>
      <c r="E76" s="7">
        <v>47</v>
      </c>
      <c r="F76" s="7" t="s">
        <v>335</v>
      </c>
      <c r="G76" s="7">
        <v>15882823533</v>
      </c>
      <c r="H76" s="7" t="s">
        <v>334</v>
      </c>
      <c r="I76" s="7" t="s">
        <v>336</v>
      </c>
      <c r="K76" s="9" t="s">
        <v>347</v>
      </c>
    </row>
    <row r="77" spans="1:11" ht="35.25" customHeight="1">
      <c r="A77" s="16">
        <v>45982</v>
      </c>
      <c r="B77" s="7" t="s">
        <v>41</v>
      </c>
      <c r="C77" s="9" t="s">
        <v>346</v>
      </c>
      <c r="D77" s="7" t="s">
        <v>337</v>
      </c>
      <c r="E77" s="7">
        <v>45</v>
      </c>
      <c r="F77" s="7" t="s">
        <v>250</v>
      </c>
      <c r="G77" s="7">
        <v>15280923958</v>
      </c>
      <c r="H77" s="7" t="s">
        <v>334</v>
      </c>
      <c r="I77" s="7" t="s">
        <v>338</v>
      </c>
      <c r="K77" s="7" t="s">
        <v>351</v>
      </c>
    </row>
    <row r="78" spans="1:11" ht="35.25" customHeight="1">
      <c r="A78" s="16">
        <v>45982</v>
      </c>
      <c r="B78" s="7" t="s">
        <v>41</v>
      </c>
      <c r="C78" s="9" t="s">
        <v>345</v>
      </c>
      <c r="D78" s="7" t="s">
        <v>337</v>
      </c>
      <c r="E78" s="7">
        <v>52</v>
      </c>
      <c r="F78" s="7" t="s">
        <v>339</v>
      </c>
      <c r="G78" s="7">
        <v>18780490721</v>
      </c>
      <c r="H78" s="7" t="s">
        <v>334</v>
      </c>
      <c r="I78" s="7" t="s">
        <v>108</v>
      </c>
      <c r="K78" s="7" t="s">
        <v>340</v>
      </c>
    </row>
    <row r="79" spans="1:11" ht="35.25" customHeight="1">
      <c r="A79" s="16">
        <v>45982</v>
      </c>
      <c r="B79" s="7" t="s">
        <v>41</v>
      </c>
      <c r="C79" s="9" t="s">
        <v>342</v>
      </c>
      <c r="D79" s="7" t="s">
        <v>337</v>
      </c>
      <c r="E79" s="7">
        <v>51</v>
      </c>
      <c r="F79" s="7" t="s">
        <v>343</v>
      </c>
      <c r="G79" s="7">
        <v>15181646408</v>
      </c>
      <c r="H79" s="7" t="s">
        <v>334</v>
      </c>
      <c r="I79" s="7" t="s">
        <v>341</v>
      </c>
      <c r="K79" s="7" t="s">
        <v>344</v>
      </c>
    </row>
    <row r="80" spans="1:11" ht="35.25" customHeight="1">
      <c r="A80" s="16">
        <v>45982</v>
      </c>
      <c r="B80" s="7" t="s">
        <v>41</v>
      </c>
      <c r="C80" s="9" t="s">
        <v>350</v>
      </c>
      <c r="D80" s="9" t="s">
        <v>337</v>
      </c>
      <c r="E80" s="7">
        <v>48</v>
      </c>
      <c r="F80" s="9" t="s">
        <v>348</v>
      </c>
      <c r="G80" s="7">
        <v>18881619866</v>
      </c>
      <c r="H80" s="9" t="s">
        <v>334</v>
      </c>
      <c r="I80" s="9" t="s">
        <v>336</v>
      </c>
      <c r="J80" s="9"/>
      <c r="K80" s="9" t="s">
        <v>349</v>
      </c>
    </row>
    <row r="81" spans="1:11" ht="35.25" customHeight="1">
      <c r="A81" s="6">
        <v>45983</v>
      </c>
      <c r="B81" s="7" t="s">
        <v>41</v>
      </c>
      <c r="C81" s="7" t="s">
        <v>354</v>
      </c>
      <c r="D81" s="7" t="s">
        <v>356</v>
      </c>
      <c r="E81" s="7">
        <v>52</v>
      </c>
      <c r="F81" s="7" t="s">
        <v>357</v>
      </c>
      <c r="G81" s="7">
        <v>15883783363</v>
      </c>
      <c r="H81" s="7" t="s">
        <v>359</v>
      </c>
      <c r="I81" s="7" t="s">
        <v>358</v>
      </c>
      <c r="K81" s="7" t="s">
        <v>360</v>
      </c>
    </row>
    <row r="82" spans="1:11" ht="35.25" customHeight="1">
      <c r="A82" s="6">
        <v>45983</v>
      </c>
      <c r="B82" s="7" t="s">
        <v>41</v>
      </c>
      <c r="C82" s="7" t="s">
        <v>361</v>
      </c>
      <c r="D82" s="7" t="s">
        <v>356</v>
      </c>
      <c r="E82" s="7">
        <v>55</v>
      </c>
      <c r="F82" s="7" t="s">
        <v>369</v>
      </c>
      <c r="G82" s="7">
        <v>15228373130</v>
      </c>
      <c r="H82" s="7" t="s">
        <v>355</v>
      </c>
      <c r="I82" s="7" t="s">
        <v>368</v>
      </c>
      <c r="K82" s="7" t="s">
        <v>370</v>
      </c>
    </row>
    <row r="83" spans="1:11" ht="35.25" customHeight="1">
      <c r="A83" s="6">
        <v>45983</v>
      </c>
      <c r="B83" s="7" t="s">
        <v>41</v>
      </c>
      <c r="C83" s="7" t="s">
        <v>364</v>
      </c>
      <c r="D83" s="7" t="s">
        <v>356</v>
      </c>
      <c r="E83" s="7">
        <v>54</v>
      </c>
      <c r="F83" s="7" t="s">
        <v>362</v>
      </c>
      <c r="G83" s="7">
        <v>18188380034</v>
      </c>
      <c r="H83" s="7" t="s">
        <v>355</v>
      </c>
      <c r="I83" s="7" t="s">
        <v>363</v>
      </c>
      <c r="K83" s="7" t="s">
        <v>365</v>
      </c>
    </row>
    <row r="84" spans="1:11" ht="35.25" customHeight="1">
      <c r="A84" s="6">
        <v>45983</v>
      </c>
      <c r="B84" s="7" t="s">
        <v>41</v>
      </c>
      <c r="C84" s="7" t="s">
        <v>366</v>
      </c>
      <c r="D84" s="7" t="s">
        <v>356</v>
      </c>
      <c r="E84" s="7">
        <v>55</v>
      </c>
      <c r="F84" s="7" t="s">
        <v>367</v>
      </c>
      <c r="G84" s="7">
        <v>18188380034</v>
      </c>
      <c r="H84" s="7" t="s">
        <v>359</v>
      </c>
      <c r="I84" s="7" t="s">
        <v>358</v>
      </c>
      <c r="K84" s="7" t="s">
        <v>928</v>
      </c>
    </row>
    <row r="85" spans="1:11" ht="35.25" customHeight="1">
      <c r="A85" s="6">
        <v>45983</v>
      </c>
      <c r="B85" s="7" t="s">
        <v>41</v>
      </c>
      <c r="C85" s="7" t="s">
        <v>371</v>
      </c>
      <c r="D85" s="7" t="s">
        <v>356</v>
      </c>
      <c r="E85" s="7">
        <v>53</v>
      </c>
      <c r="F85" s="7" t="s">
        <v>372</v>
      </c>
      <c r="G85" s="7">
        <v>15881615403</v>
      </c>
      <c r="H85" s="7" t="s">
        <v>359</v>
      </c>
      <c r="I85" s="7" t="s">
        <v>358</v>
      </c>
      <c r="K85" s="7" t="s">
        <v>373</v>
      </c>
    </row>
    <row r="86" spans="1:11" ht="35.25" customHeight="1">
      <c r="A86" s="6">
        <v>45983</v>
      </c>
      <c r="B86" s="7" t="s">
        <v>41</v>
      </c>
      <c r="C86" s="7" t="s">
        <v>375</v>
      </c>
      <c r="D86" s="7" t="s">
        <v>356</v>
      </c>
      <c r="E86" s="7">
        <v>53</v>
      </c>
      <c r="F86" s="7" t="s">
        <v>374</v>
      </c>
      <c r="G86" s="7">
        <v>18981182846</v>
      </c>
      <c r="H86" s="7" t="s">
        <v>355</v>
      </c>
      <c r="I86" s="7" t="s">
        <v>353</v>
      </c>
      <c r="K86" s="7" t="s">
        <v>376</v>
      </c>
    </row>
    <row r="87" spans="1:11" ht="35.25" customHeight="1">
      <c r="A87" s="6">
        <v>45983</v>
      </c>
      <c r="B87" s="7" t="s">
        <v>41</v>
      </c>
      <c r="C87" s="7" t="s">
        <v>379</v>
      </c>
      <c r="D87" s="7" t="s">
        <v>356</v>
      </c>
      <c r="E87" s="7">
        <v>56</v>
      </c>
      <c r="F87" s="7" t="s">
        <v>377</v>
      </c>
      <c r="G87" s="7">
        <v>18981102366</v>
      </c>
      <c r="H87" s="7" t="s">
        <v>355</v>
      </c>
      <c r="I87" s="7" t="s">
        <v>368</v>
      </c>
      <c r="K87" s="7" t="s">
        <v>378</v>
      </c>
    </row>
    <row r="88" spans="1:11" ht="35.25" customHeight="1">
      <c r="A88" s="16">
        <v>45985</v>
      </c>
      <c r="B88" s="7" t="s">
        <v>41</v>
      </c>
      <c r="C88" s="7" t="s">
        <v>381</v>
      </c>
      <c r="D88" s="7" t="s">
        <v>118</v>
      </c>
      <c r="E88" s="7">
        <v>54</v>
      </c>
      <c r="F88" s="7" t="s">
        <v>382</v>
      </c>
      <c r="G88" s="7">
        <v>15541482732</v>
      </c>
      <c r="H88" s="7" t="s">
        <v>383</v>
      </c>
      <c r="I88" s="7" t="s">
        <v>384</v>
      </c>
      <c r="K88" s="7" t="s">
        <v>385</v>
      </c>
    </row>
    <row r="89" spans="1:11" ht="35.25" customHeight="1">
      <c r="A89" s="16">
        <v>45985</v>
      </c>
      <c r="B89" s="7" t="s">
        <v>41</v>
      </c>
      <c r="C89" s="7" t="s">
        <v>387</v>
      </c>
      <c r="D89" s="7" t="s">
        <v>118</v>
      </c>
      <c r="E89" s="7">
        <v>53</v>
      </c>
      <c r="F89" s="7" t="s">
        <v>388</v>
      </c>
      <c r="G89" s="7">
        <v>13778049557</v>
      </c>
      <c r="H89" s="7" t="s">
        <v>386</v>
      </c>
      <c r="I89" s="7" t="s">
        <v>380</v>
      </c>
      <c r="K89" s="7" t="s">
        <v>389</v>
      </c>
    </row>
    <row r="90" spans="1:11" ht="35.25" customHeight="1">
      <c r="A90" s="16">
        <v>45985</v>
      </c>
      <c r="B90" s="7" t="s">
        <v>41</v>
      </c>
      <c r="C90" s="7" t="s">
        <v>393</v>
      </c>
      <c r="D90" s="7" t="s">
        <v>118</v>
      </c>
      <c r="E90" s="7">
        <v>57</v>
      </c>
      <c r="F90" s="7" t="s">
        <v>390</v>
      </c>
      <c r="G90" s="7">
        <v>13308119086</v>
      </c>
      <c r="H90" s="7" t="s">
        <v>391</v>
      </c>
      <c r="I90" s="7" t="s">
        <v>380</v>
      </c>
      <c r="K90" s="7" t="s">
        <v>392</v>
      </c>
    </row>
    <row r="91" spans="1:11" ht="35.25" customHeight="1">
      <c r="A91" s="16">
        <v>45985</v>
      </c>
      <c r="B91" s="7" t="s">
        <v>41</v>
      </c>
      <c r="C91" s="7" t="s">
        <v>394</v>
      </c>
      <c r="D91" s="7" t="s">
        <v>118</v>
      </c>
      <c r="E91" s="7">
        <v>52</v>
      </c>
      <c r="F91" s="7" t="s">
        <v>400</v>
      </c>
      <c r="G91" s="7">
        <v>13981179518</v>
      </c>
      <c r="H91" s="7" t="s">
        <v>386</v>
      </c>
      <c r="I91" s="7" t="s">
        <v>380</v>
      </c>
      <c r="K91" s="7" t="s">
        <v>395</v>
      </c>
    </row>
    <row r="92" spans="1:11" ht="35.25" customHeight="1">
      <c r="A92" s="16">
        <v>45985</v>
      </c>
      <c r="B92" s="7" t="s">
        <v>41</v>
      </c>
      <c r="C92" s="7" t="s">
        <v>396</v>
      </c>
      <c r="D92" s="7" t="s">
        <v>118</v>
      </c>
      <c r="E92" s="7">
        <v>53</v>
      </c>
      <c r="F92" s="7" t="s">
        <v>400</v>
      </c>
      <c r="G92" s="7">
        <v>18613568851</v>
      </c>
      <c r="H92" s="7" t="s">
        <v>383</v>
      </c>
      <c r="I92" s="7" t="s">
        <v>397</v>
      </c>
      <c r="K92" s="7" t="s">
        <v>398</v>
      </c>
    </row>
    <row r="93" spans="1:11" ht="35.25" customHeight="1">
      <c r="A93" s="16">
        <v>45985</v>
      </c>
      <c r="B93" s="7" t="s">
        <v>41</v>
      </c>
      <c r="C93" s="7" t="s">
        <v>401</v>
      </c>
      <c r="D93" s="7" t="s">
        <v>403</v>
      </c>
      <c r="E93" s="7">
        <v>46</v>
      </c>
      <c r="F93" s="7" t="s">
        <v>402</v>
      </c>
      <c r="G93" s="7">
        <v>13881246300</v>
      </c>
      <c r="H93" s="7" t="s">
        <v>383</v>
      </c>
      <c r="I93" s="7" t="s">
        <v>380</v>
      </c>
      <c r="K93" s="7" t="s">
        <v>404</v>
      </c>
    </row>
    <row r="94" spans="1:11" ht="35.25" customHeight="1">
      <c r="A94" s="16">
        <v>45985</v>
      </c>
      <c r="B94" s="7" t="s">
        <v>41</v>
      </c>
      <c r="C94" s="20" t="s">
        <v>405</v>
      </c>
      <c r="D94" s="7" t="s">
        <v>403</v>
      </c>
      <c r="E94" s="7">
        <v>57</v>
      </c>
      <c r="F94" s="7" t="s">
        <v>406</v>
      </c>
      <c r="G94" s="7">
        <v>13881117336</v>
      </c>
      <c r="H94" s="7" t="s">
        <v>383</v>
      </c>
      <c r="I94" s="7" t="s">
        <v>380</v>
      </c>
      <c r="K94" s="7" t="s">
        <v>407</v>
      </c>
    </row>
    <row r="95" spans="1:11" s="21" customFormat="1" ht="35.25" customHeight="1">
      <c r="A95" s="19">
        <v>45986</v>
      </c>
      <c r="B95" s="20" t="s">
        <v>41</v>
      </c>
      <c r="C95" s="20" t="s">
        <v>408</v>
      </c>
      <c r="D95" s="20" t="s">
        <v>413</v>
      </c>
      <c r="E95" s="20">
        <v>52</v>
      </c>
      <c r="F95" s="20" t="s">
        <v>409</v>
      </c>
      <c r="G95" s="20">
        <v>13458088559</v>
      </c>
      <c r="H95" s="20" t="s">
        <v>410</v>
      </c>
      <c r="I95" s="20" t="s">
        <v>411</v>
      </c>
      <c r="J95" s="20"/>
      <c r="K95" s="20" t="s">
        <v>412</v>
      </c>
    </row>
    <row r="96" spans="1:11" ht="35.25" customHeight="1">
      <c r="A96" s="16">
        <v>45986</v>
      </c>
      <c r="B96" s="7" t="s">
        <v>41</v>
      </c>
      <c r="C96" s="20" t="s">
        <v>414</v>
      </c>
      <c r="D96" s="7" t="s">
        <v>413</v>
      </c>
      <c r="E96" s="7">
        <v>40</v>
      </c>
      <c r="F96" s="9" t="s">
        <v>425</v>
      </c>
      <c r="G96" s="7">
        <v>15283835353</v>
      </c>
      <c r="H96" s="7" t="s">
        <v>415</v>
      </c>
      <c r="I96" s="7" t="s">
        <v>416</v>
      </c>
      <c r="K96" s="7" t="s">
        <v>417</v>
      </c>
    </row>
    <row r="97" spans="1:11" ht="35.25" customHeight="1">
      <c r="A97" s="16">
        <v>45986</v>
      </c>
      <c r="B97" s="7" t="s">
        <v>41</v>
      </c>
      <c r="C97" s="18" t="s">
        <v>419</v>
      </c>
      <c r="D97" s="9" t="s">
        <v>413</v>
      </c>
      <c r="E97" s="7">
        <v>57</v>
      </c>
      <c r="F97" s="9" t="s">
        <v>424</v>
      </c>
      <c r="G97" s="7">
        <v>18281677287</v>
      </c>
      <c r="H97" s="9" t="s">
        <v>410</v>
      </c>
      <c r="I97" s="9" t="s">
        <v>418</v>
      </c>
      <c r="J97" s="9"/>
      <c r="K97" s="9" t="s">
        <v>420</v>
      </c>
    </row>
    <row r="98" spans="1:11" ht="35.25" customHeight="1">
      <c r="A98" s="16">
        <v>45986</v>
      </c>
      <c r="B98" s="7" t="s">
        <v>41</v>
      </c>
      <c r="C98" s="18" t="s">
        <v>421</v>
      </c>
      <c r="D98" s="9" t="s">
        <v>413</v>
      </c>
      <c r="E98" s="7">
        <v>47</v>
      </c>
      <c r="F98" s="9" t="s">
        <v>423</v>
      </c>
      <c r="G98" s="7">
        <v>15386636438</v>
      </c>
      <c r="H98" s="9" t="s">
        <v>415</v>
      </c>
      <c r="I98" s="9" t="s">
        <v>422</v>
      </c>
      <c r="J98" s="9"/>
      <c r="K98" s="9" t="s">
        <v>444</v>
      </c>
    </row>
    <row r="99" spans="1:11" ht="35.25" customHeight="1">
      <c r="A99" s="16">
        <v>45986</v>
      </c>
      <c r="B99" s="7" t="s">
        <v>41</v>
      </c>
      <c r="C99" s="18" t="s">
        <v>426</v>
      </c>
      <c r="D99" s="9" t="s">
        <v>413</v>
      </c>
      <c r="E99" s="7">
        <v>55</v>
      </c>
      <c r="F99" s="9" t="s">
        <v>427</v>
      </c>
      <c r="G99" s="7">
        <v>15881685932</v>
      </c>
      <c r="H99" s="9" t="s">
        <v>415</v>
      </c>
      <c r="I99" s="9" t="s">
        <v>428</v>
      </c>
      <c r="J99" s="9"/>
      <c r="K99" s="9" t="s">
        <v>429</v>
      </c>
    </row>
    <row r="100" spans="1:11" ht="35.25" customHeight="1">
      <c r="A100" s="16" t="s">
        <v>432</v>
      </c>
      <c r="B100" s="7" t="s">
        <v>41</v>
      </c>
      <c r="C100" s="20" t="s">
        <v>433</v>
      </c>
      <c r="D100" s="7" t="s">
        <v>431</v>
      </c>
      <c r="E100" s="7">
        <v>56</v>
      </c>
      <c r="F100" s="7" t="s">
        <v>435</v>
      </c>
      <c r="G100" s="7">
        <v>19383648258</v>
      </c>
      <c r="H100" s="7" t="s">
        <v>430</v>
      </c>
      <c r="I100" s="7" t="s">
        <v>434</v>
      </c>
      <c r="K100" s="7" t="s">
        <v>436</v>
      </c>
    </row>
    <row r="101" spans="1:11" ht="35.25" customHeight="1">
      <c r="A101" s="16" t="s">
        <v>432</v>
      </c>
      <c r="B101" s="7" t="s">
        <v>41</v>
      </c>
      <c r="C101" s="20" t="s">
        <v>437</v>
      </c>
      <c r="D101" s="7" t="s">
        <v>431</v>
      </c>
      <c r="E101" s="7">
        <v>47</v>
      </c>
      <c r="F101" s="7" t="s">
        <v>439</v>
      </c>
      <c r="G101" s="7">
        <v>17381650691</v>
      </c>
      <c r="H101" s="7" t="s">
        <v>438</v>
      </c>
      <c r="I101" s="9" t="s">
        <v>302</v>
      </c>
      <c r="J101" s="9"/>
      <c r="K101" s="7" t="s">
        <v>440</v>
      </c>
    </row>
    <row r="102" spans="1:11" ht="35.25" customHeight="1">
      <c r="A102" s="16" t="s">
        <v>432</v>
      </c>
      <c r="B102" s="7" t="s">
        <v>41</v>
      </c>
      <c r="C102" s="20" t="s">
        <v>442</v>
      </c>
      <c r="D102" s="7" t="s">
        <v>431</v>
      </c>
      <c r="E102" s="7">
        <v>50</v>
      </c>
      <c r="F102" s="7" t="s">
        <v>1652</v>
      </c>
      <c r="G102" s="7">
        <v>15892632652</v>
      </c>
      <c r="H102" s="7" t="s">
        <v>438</v>
      </c>
      <c r="I102" s="7" t="s">
        <v>441</v>
      </c>
      <c r="K102" s="7" t="s">
        <v>443</v>
      </c>
    </row>
    <row r="103" spans="1:11" ht="35.25" customHeight="1">
      <c r="A103" s="16" t="s">
        <v>432</v>
      </c>
      <c r="B103" s="7" t="s">
        <v>41</v>
      </c>
      <c r="C103" s="20" t="s">
        <v>445</v>
      </c>
      <c r="D103" s="7" t="s">
        <v>431</v>
      </c>
      <c r="E103" s="7">
        <v>47</v>
      </c>
      <c r="F103" s="7" t="s">
        <v>446</v>
      </c>
      <c r="G103" s="7">
        <v>17386761975</v>
      </c>
      <c r="H103" s="7" t="s">
        <v>438</v>
      </c>
      <c r="I103" s="9" t="s">
        <v>179</v>
      </c>
      <c r="J103" s="9"/>
      <c r="K103" s="7" t="s">
        <v>447</v>
      </c>
    </row>
    <row r="104" spans="1:11" ht="35.25" customHeight="1">
      <c r="A104" s="16" t="s">
        <v>452</v>
      </c>
      <c r="B104" s="7" t="s">
        <v>41</v>
      </c>
      <c r="C104" s="7" t="s">
        <v>453</v>
      </c>
      <c r="D104" s="7" t="s">
        <v>448</v>
      </c>
      <c r="E104" s="7">
        <v>48</v>
      </c>
      <c r="F104" s="7" t="s">
        <v>449</v>
      </c>
      <c r="G104" s="7">
        <v>13508114667</v>
      </c>
      <c r="H104" s="7" t="s">
        <v>450</v>
      </c>
      <c r="I104" s="7" t="s">
        <v>451</v>
      </c>
      <c r="K104" s="7" t="s">
        <v>454</v>
      </c>
    </row>
    <row r="105" spans="1:11" ht="35.25" customHeight="1">
      <c r="A105" s="16" t="s">
        <v>452</v>
      </c>
      <c r="B105" s="7" t="s">
        <v>41</v>
      </c>
      <c r="C105" s="7" t="s">
        <v>455</v>
      </c>
      <c r="D105" s="7" t="s">
        <v>448</v>
      </c>
      <c r="E105" s="7">
        <v>40</v>
      </c>
      <c r="F105" s="7" t="s">
        <v>456</v>
      </c>
      <c r="G105" s="7">
        <v>19150835003</v>
      </c>
      <c r="H105" s="7" t="s">
        <v>457</v>
      </c>
      <c r="I105" s="7" t="s">
        <v>353</v>
      </c>
      <c r="K105" s="7" t="s">
        <v>458</v>
      </c>
    </row>
    <row r="106" spans="1:11" ht="35.25" customHeight="1">
      <c r="A106" s="16" t="s">
        <v>452</v>
      </c>
      <c r="B106" s="7" t="s">
        <v>41</v>
      </c>
      <c r="C106" s="7" t="s">
        <v>461</v>
      </c>
      <c r="D106" s="7" t="s">
        <v>448</v>
      </c>
      <c r="E106" s="7">
        <v>47</v>
      </c>
      <c r="F106" s="7" t="s">
        <v>459</v>
      </c>
      <c r="G106" s="7">
        <v>18281939506</v>
      </c>
      <c r="H106" s="7" t="s">
        <v>450</v>
      </c>
      <c r="I106" s="7" t="s">
        <v>451</v>
      </c>
      <c r="K106" s="7" t="s">
        <v>460</v>
      </c>
    </row>
    <row r="107" spans="1:11" ht="35.25" customHeight="1">
      <c r="A107" s="16">
        <v>45999</v>
      </c>
      <c r="B107" s="7" t="s">
        <v>513</v>
      </c>
      <c r="C107" s="7" t="s">
        <v>514</v>
      </c>
      <c r="D107" s="7" t="s">
        <v>515</v>
      </c>
      <c r="E107" s="7">
        <v>59</v>
      </c>
      <c r="F107" s="7" t="s">
        <v>516</v>
      </c>
      <c r="G107" s="7">
        <v>18381646091</v>
      </c>
      <c r="H107" s="7" t="s">
        <v>517</v>
      </c>
      <c r="I107" s="7" t="s">
        <v>518</v>
      </c>
      <c r="K107" s="7" t="s">
        <v>519</v>
      </c>
    </row>
    <row r="108" spans="1:11" ht="35.25" customHeight="1">
      <c r="A108" s="16">
        <v>45999</v>
      </c>
      <c r="B108" s="7" t="s">
        <v>513</v>
      </c>
      <c r="C108" s="7" t="s">
        <v>520</v>
      </c>
      <c r="D108" s="7" t="s">
        <v>515</v>
      </c>
      <c r="E108" s="7">
        <v>47</v>
      </c>
      <c r="F108" s="7" t="s">
        <v>521</v>
      </c>
      <c r="G108" s="7">
        <v>17386761975</v>
      </c>
      <c r="H108" s="7" t="s">
        <v>522</v>
      </c>
      <c r="I108" s="7" t="s">
        <v>523</v>
      </c>
    </row>
    <row r="109" spans="1:11" ht="35.25" customHeight="1">
      <c r="A109" s="16">
        <v>45999</v>
      </c>
      <c r="B109" s="7" t="s">
        <v>513</v>
      </c>
      <c r="C109" s="7" t="s">
        <v>954</v>
      </c>
      <c r="D109" s="7" t="s">
        <v>515</v>
      </c>
      <c r="E109" s="7">
        <v>59</v>
      </c>
      <c r="F109" s="7" t="s">
        <v>524</v>
      </c>
      <c r="G109" s="7">
        <v>18113605818</v>
      </c>
      <c r="H109" s="7" t="s">
        <v>517</v>
      </c>
      <c r="I109" s="7" t="s">
        <v>486</v>
      </c>
    </row>
    <row r="110" spans="1:11" ht="35.25" customHeight="1">
      <c r="A110" s="16">
        <v>45999</v>
      </c>
      <c r="B110" s="7" t="s">
        <v>513</v>
      </c>
      <c r="C110" s="7" t="s">
        <v>525</v>
      </c>
      <c r="D110" s="7" t="s">
        <v>515</v>
      </c>
      <c r="E110" s="7">
        <v>56</v>
      </c>
      <c r="G110" s="7">
        <v>13689695975</v>
      </c>
      <c r="H110" s="7" t="s">
        <v>517</v>
      </c>
      <c r="I110" s="7" t="s">
        <v>526</v>
      </c>
    </row>
    <row r="111" spans="1:11" ht="35.25" customHeight="1">
      <c r="A111" s="16">
        <v>46000</v>
      </c>
      <c r="B111" s="7" t="s">
        <v>550</v>
      </c>
      <c r="C111" s="7" t="s">
        <v>551</v>
      </c>
      <c r="D111" s="7" t="s">
        <v>552</v>
      </c>
      <c r="E111" s="7">
        <v>59</v>
      </c>
      <c r="F111" s="7" t="s">
        <v>553</v>
      </c>
      <c r="G111" s="7">
        <v>18780529270</v>
      </c>
      <c r="H111" s="7" t="s">
        <v>554</v>
      </c>
      <c r="I111" s="7" t="s">
        <v>555</v>
      </c>
      <c r="K111" s="7" t="s">
        <v>619</v>
      </c>
    </row>
    <row r="112" spans="1:11" ht="35.25" customHeight="1">
      <c r="A112" s="16">
        <v>46000</v>
      </c>
      <c r="B112" s="7" t="s">
        <v>550</v>
      </c>
      <c r="C112" s="7" t="s">
        <v>556</v>
      </c>
      <c r="D112" s="7" t="s">
        <v>552</v>
      </c>
      <c r="H112" s="7" t="s">
        <v>554</v>
      </c>
      <c r="I112" s="7" t="s">
        <v>557</v>
      </c>
    </row>
    <row r="113" spans="1:11" ht="35.25" customHeight="1">
      <c r="A113" s="16">
        <v>46002</v>
      </c>
      <c r="B113" s="7" t="s">
        <v>620</v>
      </c>
      <c r="C113" s="7" t="s">
        <v>621</v>
      </c>
      <c r="D113" s="7" t="s">
        <v>622</v>
      </c>
      <c r="E113" s="7">
        <v>50</v>
      </c>
      <c r="F113" s="7" t="s">
        <v>623</v>
      </c>
      <c r="G113" s="7">
        <v>15228424981</v>
      </c>
      <c r="H113" s="7" t="s">
        <v>624</v>
      </c>
      <c r="I113" s="7" t="s">
        <v>625</v>
      </c>
    </row>
    <row r="114" spans="1:11" ht="35.25" customHeight="1">
      <c r="A114" s="16">
        <v>46002</v>
      </c>
      <c r="B114" s="7" t="s">
        <v>620</v>
      </c>
      <c r="C114" s="7" t="s">
        <v>626</v>
      </c>
      <c r="D114" s="7" t="s">
        <v>622</v>
      </c>
      <c r="E114" s="7">
        <v>52</v>
      </c>
      <c r="F114" s="7" t="s">
        <v>627</v>
      </c>
      <c r="G114" s="7">
        <v>18780380114</v>
      </c>
      <c r="I114" s="7" t="s">
        <v>625</v>
      </c>
    </row>
    <row r="115" spans="1:11" ht="35.25" customHeight="1">
      <c r="A115" s="16">
        <v>46002</v>
      </c>
      <c r="B115" s="7" t="s">
        <v>620</v>
      </c>
      <c r="C115" s="7" t="s">
        <v>628</v>
      </c>
      <c r="D115" s="7" t="s">
        <v>622</v>
      </c>
      <c r="E115" s="7">
        <v>57</v>
      </c>
      <c r="F115" s="7" t="s">
        <v>459</v>
      </c>
      <c r="G115" s="7">
        <v>15228318710</v>
      </c>
      <c r="H115" s="7" t="s">
        <v>522</v>
      </c>
      <c r="I115" s="7" t="s">
        <v>625</v>
      </c>
    </row>
    <row r="116" spans="1:11" ht="35.25" customHeight="1">
      <c r="C116" s="9" t="s">
        <v>708</v>
      </c>
      <c r="K116" s="9" t="s">
        <v>709</v>
      </c>
    </row>
    <row r="117" spans="1:11" ht="35.25" customHeight="1">
      <c r="C117" s="7" t="s">
        <v>722</v>
      </c>
      <c r="I117" s="7" t="s">
        <v>723</v>
      </c>
      <c r="K117" s="7" t="s">
        <v>724</v>
      </c>
    </row>
    <row r="118" spans="1:11" ht="35.25" customHeight="1">
      <c r="A118" s="16">
        <v>46015</v>
      </c>
      <c r="B118" s="7" t="s">
        <v>513</v>
      </c>
      <c r="C118" s="7" t="s">
        <v>950</v>
      </c>
      <c r="D118" s="7" t="s">
        <v>949</v>
      </c>
      <c r="E118" s="7">
        <v>55</v>
      </c>
      <c r="F118" s="7" t="s">
        <v>953</v>
      </c>
      <c r="G118" s="7">
        <v>18190622459</v>
      </c>
      <c r="H118" s="7" t="s">
        <v>951</v>
      </c>
      <c r="I118" s="7" t="s">
        <v>952</v>
      </c>
    </row>
    <row r="119" spans="1:11" ht="35.25" customHeight="1">
      <c r="A119" s="16">
        <v>46016</v>
      </c>
      <c r="B119" s="7" t="s">
        <v>958</v>
      </c>
      <c r="C119" s="7" t="s">
        <v>975</v>
      </c>
      <c r="D119" s="7" t="s">
        <v>974</v>
      </c>
      <c r="E119" s="7">
        <v>56</v>
      </c>
      <c r="G119" s="7">
        <v>15231635075</v>
      </c>
      <c r="I119" s="7" t="s">
        <v>970</v>
      </c>
      <c r="K119" s="7" t="s">
        <v>1135</v>
      </c>
    </row>
    <row r="120" spans="1:11" ht="35.25" customHeight="1">
      <c r="A120" s="16">
        <v>46025</v>
      </c>
      <c r="B120" s="9" t="s">
        <v>1092</v>
      </c>
      <c r="C120" s="9" t="s">
        <v>1093</v>
      </c>
      <c r="D120" s="9" t="s">
        <v>1094</v>
      </c>
      <c r="E120" s="7">
        <v>49</v>
      </c>
      <c r="G120" s="7">
        <v>18780327752</v>
      </c>
      <c r="I120" s="9" t="s">
        <v>1095</v>
      </c>
      <c r="J120" s="9"/>
      <c r="K120" s="9" t="s">
        <v>1096</v>
      </c>
    </row>
    <row r="121" spans="1:11" ht="35.25" customHeight="1">
      <c r="A121" s="16">
        <v>46025</v>
      </c>
      <c r="B121" s="9" t="s">
        <v>1092</v>
      </c>
      <c r="C121" s="9" t="s">
        <v>1100</v>
      </c>
      <c r="D121" s="9" t="s">
        <v>1094</v>
      </c>
      <c r="E121" s="7">
        <v>40</v>
      </c>
      <c r="I121" s="9" t="s">
        <v>1095</v>
      </c>
      <c r="J121" s="9"/>
      <c r="K121" s="9" t="s">
        <v>1096</v>
      </c>
    </row>
    <row r="122" spans="1:11" ht="35.25" customHeight="1">
      <c r="A122" s="16">
        <v>46025</v>
      </c>
      <c r="B122" s="9" t="s">
        <v>1092</v>
      </c>
      <c r="C122" s="9" t="s">
        <v>1097</v>
      </c>
      <c r="D122" s="9" t="s">
        <v>1094</v>
      </c>
      <c r="E122" s="7">
        <v>41</v>
      </c>
      <c r="G122" s="7">
        <v>15182998731</v>
      </c>
      <c r="I122" s="9" t="s">
        <v>1095</v>
      </c>
      <c r="J122" s="9"/>
      <c r="K122" s="9" t="s">
        <v>1101</v>
      </c>
    </row>
    <row r="123" spans="1:11" ht="35.25" customHeight="1">
      <c r="A123" s="16">
        <v>46025</v>
      </c>
      <c r="B123" s="9" t="s">
        <v>1092</v>
      </c>
      <c r="C123" s="9" t="s">
        <v>1099</v>
      </c>
      <c r="D123" s="9" t="s">
        <v>1094</v>
      </c>
      <c r="E123" s="7">
        <v>50</v>
      </c>
      <c r="G123" s="7">
        <v>18781654789</v>
      </c>
      <c r="I123" s="9" t="s">
        <v>1095</v>
      </c>
      <c r="J123" s="9"/>
      <c r="K123" s="9" t="s">
        <v>1101</v>
      </c>
    </row>
    <row r="124" spans="1:11" ht="35.25" customHeight="1">
      <c r="A124" s="16">
        <v>46025</v>
      </c>
      <c r="B124" s="9" t="s">
        <v>1092</v>
      </c>
      <c r="C124" s="9" t="s">
        <v>1102</v>
      </c>
      <c r="D124" s="9" t="s">
        <v>1094</v>
      </c>
      <c r="E124" s="7">
        <v>41</v>
      </c>
      <c r="G124" s="7">
        <v>18161032632</v>
      </c>
      <c r="I124" s="9" t="s">
        <v>1095</v>
      </c>
      <c r="J124" s="9"/>
      <c r="K124" s="9" t="s">
        <v>1103</v>
      </c>
    </row>
    <row r="125" spans="1:11" ht="35.25" customHeight="1">
      <c r="A125" s="16">
        <v>46026</v>
      </c>
      <c r="B125" s="7" t="s">
        <v>1122</v>
      </c>
      <c r="C125" s="7" t="s">
        <v>1123</v>
      </c>
      <c r="D125" s="7" t="s">
        <v>1124</v>
      </c>
      <c r="E125" s="7">
        <v>53</v>
      </c>
      <c r="G125" s="7">
        <v>15908229269</v>
      </c>
      <c r="I125" s="7" t="s">
        <v>1125</v>
      </c>
      <c r="K125" s="7" t="s">
        <v>1126</v>
      </c>
    </row>
    <row r="126" spans="1:11" ht="35.25" customHeight="1">
      <c r="A126" s="16">
        <v>46026</v>
      </c>
      <c r="B126" s="7" t="s">
        <v>1122</v>
      </c>
      <c r="C126" s="7" t="s">
        <v>1128</v>
      </c>
      <c r="D126" s="7" t="s">
        <v>1124</v>
      </c>
      <c r="E126" s="7">
        <v>47</v>
      </c>
      <c r="G126" s="7">
        <v>17378693102</v>
      </c>
      <c r="I126" s="7" t="s">
        <v>1125</v>
      </c>
      <c r="K126" s="7" t="s">
        <v>1127</v>
      </c>
    </row>
    <row r="127" spans="1:11" ht="35.25" customHeight="1">
      <c r="A127" s="16">
        <v>46026</v>
      </c>
      <c r="B127" s="7" t="s">
        <v>1122</v>
      </c>
      <c r="C127" s="7" t="s">
        <v>1130</v>
      </c>
      <c r="D127" s="7" t="s">
        <v>1124</v>
      </c>
      <c r="E127" s="7">
        <v>53</v>
      </c>
      <c r="G127" s="7">
        <v>17309014851</v>
      </c>
      <c r="I127" s="7" t="s">
        <v>1125</v>
      </c>
      <c r="K127" s="7" t="s">
        <v>1129</v>
      </c>
    </row>
    <row r="128" spans="1:11" ht="35.25" customHeight="1">
      <c r="A128" s="16">
        <v>46026</v>
      </c>
      <c r="B128" s="7" t="s">
        <v>1122</v>
      </c>
      <c r="C128" s="7" t="s">
        <v>1134</v>
      </c>
      <c r="D128" s="7" t="s">
        <v>1124</v>
      </c>
      <c r="E128" s="7">
        <v>50</v>
      </c>
      <c r="G128" s="7">
        <v>15328221902</v>
      </c>
      <c r="I128" s="7" t="s">
        <v>1132</v>
      </c>
      <c r="K128" s="7" t="s">
        <v>1133</v>
      </c>
    </row>
    <row r="129" spans="1:11" ht="35.25" customHeight="1">
      <c r="A129" s="16">
        <v>46026</v>
      </c>
      <c r="B129" s="7" t="s">
        <v>1122</v>
      </c>
      <c r="C129" s="7" t="s">
        <v>1136</v>
      </c>
      <c r="D129" s="7" t="s">
        <v>1124</v>
      </c>
      <c r="E129" s="7">
        <v>57</v>
      </c>
      <c r="G129" s="7">
        <v>18009085438</v>
      </c>
      <c r="I129" s="7" t="s">
        <v>1125</v>
      </c>
      <c r="K129" s="7" t="s">
        <v>1131</v>
      </c>
    </row>
    <row r="130" spans="1:11" ht="35.25" customHeight="1">
      <c r="A130" s="16">
        <v>46026</v>
      </c>
      <c r="B130" s="7" t="s">
        <v>1122</v>
      </c>
      <c r="C130" s="7" t="s">
        <v>1138</v>
      </c>
      <c r="D130" s="7" t="s">
        <v>1124</v>
      </c>
      <c r="G130" s="7">
        <v>18784021648</v>
      </c>
      <c r="I130" s="7" t="s">
        <v>1132</v>
      </c>
      <c r="K130" s="7" t="s">
        <v>1139</v>
      </c>
    </row>
    <row r="131" spans="1:11" ht="35.25" customHeight="1">
      <c r="A131" s="16">
        <v>46026</v>
      </c>
      <c r="B131" s="7" t="s">
        <v>1122</v>
      </c>
      <c r="C131" s="7" t="s">
        <v>1141</v>
      </c>
      <c r="D131" s="7" t="s">
        <v>1124</v>
      </c>
      <c r="E131" s="7">
        <v>48</v>
      </c>
      <c r="G131" s="7">
        <v>13778142606</v>
      </c>
      <c r="I131" s="7" t="s">
        <v>1132</v>
      </c>
      <c r="K131" s="7" t="s">
        <v>1140</v>
      </c>
    </row>
    <row r="132" spans="1:11" ht="35.25" customHeight="1">
      <c r="A132" s="16">
        <v>46026</v>
      </c>
      <c r="B132" s="7" t="s">
        <v>1122</v>
      </c>
      <c r="C132" s="7" t="s">
        <v>1142</v>
      </c>
      <c r="D132" s="7" t="s">
        <v>1124</v>
      </c>
      <c r="E132" s="7">
        <v>47</v>
      </c>
      <c r="G132" s="7">
        <v>14781602767</v>
      </c>
      <c r="I132" s="7" t="s">
        <v>1132</v>
      </c>
    </row>
    <row r="133" spans="1:11" ht="35.25" customHeight="1">
      <c r="A133" s="16">
        <v>46026</v>
      </c>
      <c r="B133" s="7" t="s">
        <v>1143</v>
      </c>
      <c r="C133" s="7" t="s">
        <v>1144</v>
      </c>
      <c r="D133" s="7" t="s">
        <v>1145</v>
      </c>
      <c r="G133" s="7">
        <v>15281686942</v>
      </c>
      <c r="I133" s="7" t="s">
        <v>285</v>
      </c>
    </row>
    <row r="134" spans="1:11" ht="35.25" customHeight="1">
      <c r="A134" s="16">
        <v>46029</v>
      </c>
      <c r="B134" s="7" t="s">
        <v>1256</v>
      </c>
      <c r="C134" s="7" t="s">
        <v>1263</v>
      </c>
      <c r="D134" s="7" t="s">
        <v>1264</v>
      </c>
      <c r="E134" s="7">
        <v>51</v>
      </c>
      <c r="G134" s="7">
        <v>15378210403</v>
      </c>
      <c r="I134" s="7" t="s">
        <v>1265</v>
      </c>
      <c r="K134" s="7" t="s">
        <v>1266</v>
      </c>
    </row>
    <row r="135" spans="1:11" ht="35.25" customHeight="1">
      <c r="A135" s="16">
        <v>46030</v>
      </c>
      <c r="B135" s="7" t="s">
        <v>1281</v>
      </c>
      <c r="C135" s="7" t="s">
        <v>1282</v>
      </c>
      <c r="D135" s="7" t="s">
        <v>1283</v>
      </c>
      <c r="E135" s="7">
        <v>41</v>
      </c>
      <c r="G135" s="7">
        <v>18011102379</v>
      </c>
      <c r="I135" s="7" t="s">
        <v>1285</v>
      </c>
      <c r="K135" s="7" t="s">
        <v>1284</v>
      </c>
    </row>
    <row r="136" spans="1:11" ht="35.25" customHeight="1">
      <c r="A136" s="16">
        <v>46030</v>
      </c>
      <c r="B136" s="7" t="s">
        <v>1281</v>
      </c>
      <c r="C136" s="7" t="s">
        <v>1290</v>
      </c>
      <c r="D136" s="7" t="s">
        <v>1283</v>
      </c>
      <c r="E136" s="7">
        <v>55</v>
      </c>
      <c r="G136" s="7">
        <v>18144242001</v>
      </c>
      <c r="I136" s="7" t="s">
        <v>1291</v>
      </c>
    </row>
    <row r="137" spans="1:11" ht="35.25" customHeight="1">
      <c r="A137" s="16">
        <v>46030</v>
      </c>
      <c r="B137" s="7" t="s">
        <v>1281</v>
      </c>
      <c r="C137" s="7" t="s">
        <v>1292</v>
      </c>
      <c r="D137" s="7" t="s">
        <v>1283</v>
      </c>
      <c r="E137" s="7">
        <v>52</v>
      </c>
      <c r="I137" s="7" t="s">
        <v>1291</v>
      </c>
      <c r="K137" s="7" t="s">
        <v>1300</v>
      </c>
    </row>
    <row r="138" spans="1:11" ht="35.25" customHeight="1">
      <c r="A138" s="16">
        <v>46030</v>
      </c>
      <c r="B138" s="7" t="s">
        <v>1281</v>
      </c>
      <c r="C138" s="7" t="s">
        <v>1293</v>
      </c>
      <c r="D138" s="7" t="s">
        <v>1283</v>
      </c>
      <c r="E138" s="7">
        <v>50</v>
      </c>
      <c r="G138" s="7">
        <v>17890146337</v>
      </c>
      <c r="I138" s="7" t="s">
        <v>1291</v>
      </c>
      <c r="K138" s="7" t="s">
        <v>1300</v>
      </c>
    </row>
    <row r="139" spans="1:11" ht="35.25" customHeight="1">
      <c r="A139" s="16">
        <v>46030</v>
      </c>
      <c r="B139" s="7" t="s">
        <v>1281</v>
      </c>
      <c r="C139" s="7" t="s">
        <v>1294</v>
      </c>
      <c r="D139" s="7" t="s">
        <v>1283</v>
      </c>
      <c r="E139" s="7">
        <v>51</v>
      </c>
      <c r="G139" s="7">
        <v>15883750906</v>
      </c>
      <c r="I139" s="7" t="s">
        <v>1291</v>
      </c>
      <c r="K139" s="7" t="s">
        <v>1295</v>
      </c>
    </row>
    <row r="140" spans="1:11" ht="35.25" customHeight="1">
      <c r="A140" s="16">
        <v>46030</v>
      </c>
      <c r="B140" s="7" t="s">
        <v>1281</v>
      </c>
      <c r="C140" s="7" t="s">
        <v>1296</v>
      </c>
      <c r="D140" s="7" t="s">
        <v>1283</v>
      </c>
      <c r="E140" s="7">
        <v>50</v>
      </c>
      <c r="I140" s="7" t="s">
        <v>1291</v>
      </c>
      <c r="K140" s="7" t="s">
        <v>1300</v>
      </c>
    </row>
    <row r="141" spans="1:11" ht="35.25" customHeight="1">
      <c r="A141" s="16">
        <v>46030</v>
      </c>
      <c r="B141" s="7" t="s">
        <v>1281</v>
      </c>
      <c r="C141" s="7" t="s">
        <v>1297</v>
      </c>
      <c r="D141" s="7" t="s">
        <v>1283</v>
      </c>
      <c r="E141" s="7">
        <v>53</v>
      </c>
      <c r="G141" s="7">
        <v>18281906232</v>
      </c>
      <c r="I141" s="7" t="s">
        <v>1291</v>
      </c>
      <c r="K141" s="7" t="s">
        <v>1298</v>
      </c>
    </row>
    <row r="142" spans="1:11" ht="35.25" customHeight="1">
      <c r="A142" s="16">
        <v>46030</v>
      </c>
      <c r="B142" s="7" t="s">
        <v>1281</v>
      </c>
      <c r="C142" s="7" t="s">
        <v>1299</v>
      </c>
      <c r="D142" s="7" t="s">
        <v>1283</v>
      </c>
      <c r="E142" s="7">
        <v>48</v>
      </c>
      <c r="G142" s="7">
        <v>13881231790</v>
      </c>
      <c r="I142" s="7" t="s">
        <v>1291</v>
      </c>
      <c r="K142" s="7" t="s">
        <v>1300</v>
      </c>
    </row>
    <row r="143" spans="1:11" ht="35.25" customHeight="1">
      <c r="A143" s="16">
        <v>46030</v>
      </c>
      <c r="B143" s="7" t="s">
        <v>1281</v>
      </c>
      <c r="C143" s="7" t="s">
        <v>1301</v>
      </c>
      <c r="D143" s="7" t="s">
        <v>1283</v>
      </c>
    </row>
    <row r="144" spans="1:11" ht="35.25" customHeight="1">
      <c r="A144" s="16">
        <v>46030</v>
      </c>
      <c r="B144" s="7" t="s">
        <v>1281</v>
      </c>
      <c r="C144" s="7" t="s">
        <v>1302</v>
      </c>
      <c r="D144" s="7" t="s">
        <v>1283</v>
      </c>
      <c r="E144" s="7">
        <v>48</v>
      </c>
      <c r="G144" s="7">
        <v>13890456718</v>
      </c>
      <c r="I144" s="7" t="s">
        <v>1291</v>
      </c>
      <c r="K144" s="7" t="s">
        <v>1295</v>
      </c>
    </row>
    <row r="145" spans="1:11" ht="35.25" customHeight="1">
      <c r="A145" s="16">
        <v>46032</v>
      </c>
      <c r="B145" s="7" t="s">
        <v>1340</v>
      </c>
      <c r="C145" s="7" t="s">
        <v>1347</v>
      </c>
      <c r="D145" s="7" t="s">
        <v>1348</v>
      </c>
      <c r="E145" s="7">
        <v>56</v>
      </c>
      <c r="G145" s="7">
        <v>19038109609</v>
      </c>
      <c r="I145" s="7" t="s">
        <v>1349</v>
      </c>
    </row>
    <row r="146" spans="1:11" ht="35.25" customHeight="1">
      <c r="A146" s="16">
        <v>46032</v>
      </c>
      <c r="B146" s="7" t="s">
        <v>1340</v>
      </c>
      <c r="C146" s="7" t="s">
        <v>1350</v>
      </c>
      <c r="D146" s="7" t="s">
        <v>1348</v>
      </c>
      <c r="E146" s="7">
        <v>50</v>
      </c>
      <c r="G146" s="7">
        <v>18781163934</v>
      </c>
      <c r="I146" s="7" t="s">
        <v>285</v>
      </c>
    </row>
    <row r="147" spans="1:11" ht="35.25" customHeight="1">
      <c r="A147" s="16">
        <v>46032</v>
      </c>
      <c r="B147" s="7" t="s">
        <v>513</v>
      </c>
      <c r="C147" s="7" t="s">
        <v>1356</v>
      </c>
      <c r="D147" s="7" t="s">
        <v>1348</v>
      </c>
      <c r="E147" s="7">
        <v>42</v>
      </c>
      <c r="G147" s="7">
        <v>13668320933</v>
      </c>
      <c r="I147" s="7" t="s">
        <v>285</v>
      </c>
      <c r="K147" s="7" t="s">
        <v>1355</v>
      </c>
    </row>
    <row r="148" spans="1:11" ht="35.25" customHeight="1">
      <c r="A148" s="16">
        <v>46032</v>
      </c>
      <c r="B148" s="7" t="s">
        <v>513</v>
      </c>
      <c r="C148" s="7" t="s">
        <v>1357</v>
      </c>
      <c r="D148" s="7" t="s">
        <v>1348</v>
      </c>
      <c r="E148" s="7">
        <v>36</v>
      </c>
      <c r="I148" s="7" t="s">
        <v>285</v>
      </c>
    </row>
    <row r="149" spans="1:11" ht="35.25" customHeight="1">
      <c r="A149" s="16">
        <v>46032</v>
      </c>
      <c r="B149" s="7" t="s">
        <v>513</v>
      </c>
      <c r="C149" s="7" t="s">
        <v>1358</v>
      </c>
      <c r="D149" s="7" t="s">
        <v>1348</v>
      </c>
      <c r="E149" s="7">
        <v>43</v>
      </c>
      <c r="I149" s="7" t="s">
        <v>285</v>
      </c>
    </row>
    <row r="150" spans="1:11" ht="35.25" customHeight="1">
      <c r="A150" s="16">
        <v>46032</v>
      </c>
      <c r="B150" s="7" t="s">
        <v>513</v>
      </c>
      <c r="C150" s="7" t="s">
        <v>1359</v>
      </c>
      <c r="D150" s="7" t="s">
        <v>1348</v>
      </c>
      <c r="E150" s="7">
        <v>50</v>
      </c>
      <c r="I150" s="7" t="s">
        <v>285</v>
      </c>
    </row>
    <row r="151" spans="1:11" ht="35.25" customHeight="1">
      <c r="A151" s="16">
        <v>46032</v>
      </c>
      <c r="B151" s="7" t="s">
        <v>513</v>
      </c>
      <c r="C151" s="7" t="s">
        <v>1362</v>
      </c>
      <c r="D151" s="7" t="s">
        <v>66</v>
      </c>
      <c r="E151" s="7">
        <v>47</v>
      </c>
      <c r="I151" s="7" t="s">
        <v>285</v>
      </c>
      <c r="K151" s="7" t="s">
        <v>1364</v>
      </c>
    </row>
    <row r="152" spans="1:11" ht="35.25" customHeight="1">
      <c r="A152" s="16">
        <v>46032</v>
      </c>
      <c r="B152" s="7" t="s">
        <v>513</v>
      </c>
      <c r="C152" s="7" t="s">
        <v>1365</v>
      </c>
      <c r="D152" s="7" t="s">
        <v>66</v>
      </c>
      <c r="E152" s="7">
        <v>48</v>
      </c>
      <c r="I152" s="7" t="s">
        <v>285</v>
      </c>
      <c r="K152" s="7" t="s">
        <v>1370</v>
      </c>
    </row>
    <row r="153" spans="1:11" ht="35.25" customHeight="1">
      <c r="A153" s="16">
        <v>46032</v>
      </c>
      <c r="B153" s="7" t="s">
        <v>513</v>
      </c>
      <c r="C153" s="7" t="s">
        <v>1368</v>
      </c>
      <c r="D153" s="7" t="s">
        <v>66</v>
      </c>
      <c r="E153" s="7">
        <v>43</v>
      </c>
      <c r="I153" s="7" t="s">
        <v>285</v>
      </c>
    </row>
    <row r="154" spans="1:11" ht="35.25" customHeight="1">
      <c r="A154" s="16">
        <v>46032</v>
      </c>
      <c r="B154" s="7" t="s">
        <v>513</v>
      </c>
      <c r="C154" s="7" t="s">
        <v>1381</v>
      </c>
      <c r="D154" s="7" t="s">
        <v>66</v>
      </c>
      <c r="E154" s="7">
        <v>43</v>
      </c>
      <c r="F154" s="7" t="s">
        <v>1397</v>
      </c>
      <c r="I154" s="7" t="s">
        <v>1375</v>
      </c>
    </row>
    <row r="155" spans="1:11" ht="35.25" customHeight="1">
      <c r="A155" s="16">
        <v>46032</v>
      </c>
      <c r="B155" s="7" t="s">
        <v>513</v>
      </c>
      <c r="C155" s="7" t="s">
        <v>1384</v>
      </c>
      <c r="D155" s="7" t="s">
        <v>66</v>
      </c>
      <c r="E155" s="7">
        <v>52</v>
      </c>
      <c r="F155" s="7" t="s">
        <v>1228</v>
      </c>
      <c r="G155" s="7">
        <v>13518318872</v>
      </c>
      <c r="I155" s="7" t="s">
        <v>1375</v>
      </c>
    </row>
    <row r="156" spans="1:11" ht="35.25" customHeight="1">
      <c r="A156" s="16">
        <v>46032</v>
      </c>
      <c r="B156" s="7" t="s">
        <v>513</v>
      </c>
      <c r="C156" s="7" t="s">
        <v>1360</v>
      </c>
      <c r="D156" s="7" t="s">
        <v>66</v>
      </c>
      <c r="E156" s="7">
        <v>49</v>
      </c>
      <c r="G156" s="7">
        <v>19949549941</v>
      </c>
      <c r="I156" s="7" t="s">
        <v>285</v>
      </c>
      <c r="K156" s="7" t="s">
        <v>1361</v>
      </c>
    </row>
    <row r="157" spans="1:11" ht="35.25" customHeight="1">
      <c r="A157" s="16">
        <v>46032</v>
      </c>
      <c r="B157" s="7" t="s">
        <v>513</v>
      </c>
      <c r="C157" s="7" t="s">
        <v>1363</v>
      </c>
      <c r="D157" s="7" t="s">
        <v>66</v>
      </c>
      <c r="E157" s="7">
        <v>50</v>
      </c>
      <c r="G157" s="7">
        <v>19808160218</v>
      </c>
      <c r="I157" s="7" t="s">
        <v>285</v>
      </c>
      <c r="K157" s="7" t="s">
        <v>1364</v>
      </c>
    </row>
    <row r="158" spans="1:11" ht="35.25" customHeight="1">
      <c r="A158" s="16">
        <v>46032</v>
      </c>
      <c r="B158" s="7" t="s">
        <v>513</v>
      </c>
      <c r="C158" s="7" t="s">
        <v>1366</v>
      </c>
      <c r="D158" s="7" t="s">
        <v>66</v>
      </c>
      <c r="E158" s="7">
        <v>38</v>
      </c>
      <c r="G158" s="7">
        <v>13548410324</v>
      </c>
      <c r="I158" s="7" t="s">
        <v>285</v>
      </c>
      <c r="K158" s="7" t="s">
        <v>1367</v>
      </c>
    </row>
    <row r="159" spans="1:11" ht="35.25" customHeight="1">
      <c r="A159" s="16">
        <v>46032</v>
      </c>
      <c r="B159" s="7" t="s">
        <v>513</v>
      </c>
      <c r="C159" s="67" t="s">
        <v>1369</v>
      </c>
      <c r="D159" s="67" t="s">
        <v>1387</v>
      </c>
      <c r="E159" s="67"/>
      <c r="F159" s="67"/>
      <c r="G159" s="67"/>
      <c r="H159" s="67"/>
      <c r="I159" s="67" t="s">
        <v>285</v>
      </c>
      <c r="J159" s="67"/>
      <c r="K159" s="67" t="s">
        <v>1371</v>
      </c>
    </row>
    <row r="160" spans="1:11" ht="35.25" customHeight="1">
      <c r="A160" s="16">
        <v>46032</v>
      </c>
      <c r="B160" s="7" t="s">
        <v>513</v>
      </c>
      <c r="C160" s="67" t="s">
        <v>1372</v>
      </c>
      <c r="D160" s="67" t="s">
        <v>1387</v>
      </c>
      <c r="E160" s="67">
        <v>46</v>
      </c>
      <c r="F160" s="67"/>
      <c r="G160" s="67"/>
      <c r="H160" s="67"/>
      <c r="I160" s="67"/>
      <c r="J160" s="67"/>
      <c r="K160" s="67" t="s">
        <v>1371</v>
      </c>
    </row>
    <row r="161" spans="1:11" ht="35.25" customHeight="1">
      <c r="A161" s="16">
        <v>46032</v>
      </c>
      <c r="B161" s="7" t="s">
        <v>513</v>
      </c>
      <c r="C161" s="7" t="s">
        <v>1373</v>
      </c>
      <c r="D161" s="7" t="s">
        <v>66</v>
      </c>
      <c r="E161" s="7">
        <v>54</v>
      </c>
      <c r="F161" s="7" t="s">
        <v>1374</v>
      </c>
      <c r="G161" s="7">
        <v>13795777158</v>
      </c>
      <c r="I161" s="7" t="s">
        <v>1375</v>
      </c>
    </row>
    <row r="162" spans="1:11" ht="35.25" customHeight="1">
      <c r="A162" s="16">
        <v>46032</v>
      </c>
      <c r="B162" s="7" t="s">
        <v>513</v>
      </c>
      <c r="C162" s="7" t="s">
        <v>1379</v>
      </c>
      <c r="D162" s="7" t="s">
        <v>66</v>
      </c>
      <c r="E162" s="7">
        <v>54</v>
      </c>
      <c r="F162" s="7" t="s">
        <v>1397</v>
      </c>
      <c r="G162" s="7">
        <v>15008163299</v>
      </c>
      <c r="I162" s="7" t="s">
        <v>1375</v>
      </c>
      <c r="K162" s="7" t="s">
        <v>1380</v>
      </c>
    </row>
    <row r="163" spans="1:11" ht="35.25" customHeight="1">
      <c r="A163" s="16">
        <v>46032</v>
      </c>
      <c r="B163" s="7" t="s">
        <v>513</v>
      </c>
      <c r="C163" s="7" t="s">
        <v>1383</v>
      </c>
      <c r="D163" s="7" t="s">
        <v>66</v>
      </c>
      <c r="E163" s="7">
        <v>55</v>
      </c>
      <c r="F163" s="7" t="s">
        <v>1397</v>
      </c>
      <c r="G163" s="7">
        <v>18784794846</v>
      </c>
      <c r="H163" s="7" t="s">
        <v>1382</v>
      </c>
      <c r="I163" s="7" t="s">
        <v>1375</v>
      </c>
    </row>
    <row r="164" spans="1:11" ht="35.25" customHeight="1">
      <c r="A164" s="16">
        <v>46032</v>
      </c>
      <c r="B164" s="7" t="s">
        <v>513</v>
      </c>
      <c r="C164" s="7" t="s">
        <v>1388</v>
      </c>
      <c r="D164" s="7" t="s">
        <v>1387</v>
      </c>
      <c r="E164" s="7">
        <v>52</v>
      </c>
      <c r="F164" s="7" t="s">
        <v>1374</v>
      </c>
      <c r="G164" s="7">
        <v>13771342537</v>
      </c>
      <c r="I164" s="7" t="s">
        <v>1375</v>
      </c>
      <c r="K164" s="7" t="s">
        <v>1385</v>
      </c>
    </row>
    <row r="165" spans="1:11" ht="35.25" customHeight="1">
      <c r="A165" s="16">
        <v>46032</v>
      </c>
      <c r="B165" s="7" t="s">
        <v>513</v>
      </c>
      <c r="C165" s="7" t="s">
        <v>1390</v>
      </c>
      <c r="D165" s="7" t="s">
        <v>1387</v>
      </c>
      <c r="E165" s="7">
        <v>35</v>
      </c>
      <c r="F165" s="7" t="s">
        <v>1389</v>
      </c>
      <c r="G165" s="7">
        <v>18281991917</v>
      </c>
      <c r="I165" s="7" t="s">
        <v>1375</v>
      </c>
      <c r="K165" s="7" t="s">
        <v>1391</v>
      </c>
    </row>
    <row r="166" spans="1:11" ht="35.25" customHeight="1">
      <c r="A166" s="16">
        <v>46032</v>
      </c>
      <c r="B166" s="7" t="s">
        <v>513</v>
      </c>
      <c r="C166" s="7" t="s">
        <v>1392</v>
      </c>
      <c r="D166" s="7" t="s">
        <v>1387</v>
      </c>
      <c r="E166" s="7">
        <v>39</v>
      </c>
      <c r="F166" s="7" t="s">
        <v>1393</v>
      </c>
      <c r="G166" s="7">
        <v>18808118095</v>
      </c>
      <c r="I166" s="7" t="s">
        <v>1375</v>
      </c>
      <c r="K166" s="7" t="s">
        <v>1394</v>
      </c>
    </row>
    <row r="167" spans="1:11" ht="35.25" customHeight="1">
      <c r="A167" s="16">
        <v>46032</v>
      </c>
      <c r="B167" s="7" t="s">
        <v>513</v>
      </c>
      <c r="C167" s="7" t="s">
        <v>1395</v>
      </c>
      <c r="D167" s="7" t="s">
        <v>1387</v>
      </c>
      <c r="E167" s="7">
        <v>37</v>
      </c>
      <c r="F167" s="7" t="s">
        <v>1397</v>
      </c>
      <c r="G167" s="7">
        <v>17790349776</v>
      </c>
      <c r="I167" s="7" t="s">
        <v>1375</v>
      </c>
    </row>
    <row r="168" spans="1:11" ht="35.25" customHeight="1">
      <c r="A168" s="16">
        <v>46032</v>
      </c>
      <c r="B168" s="7" t="s">
        <v>513</v>
      </c>
      <c r="C168" s="7" t="s">
        <v>1396</v>
      </c>
      <c r="D168" s="7" t="s">
        <v>1387</v>
      </c>
      <c r="E168" s="7">
        <v>55</v>
      </c>
      <c r="F168" s="7" t="s">
        <v>1397</v>
      </c>
      <c r="G168" s="7">
        <v>16669889767</v>
      </c>
      <c r="I168" s="7" t="s">
        <v>1375</v>
      </c>
      <c r="K168" s="7" t="s">
        <v>1096</v>
      </c>
    </row>
    <row r="169" spans="1:11" ht="35.25" customHeight="1">
      <c r="A169" s="16">
        <v>46032</v>
      </c>
      <c r="B169" s="7" t="s">
        <v>513</v>
      </c>
      <c r="C169" s="7" t="s">
        <v>1398</v>
      </c>
      <c r="D169" s="7" t="s">
        <v>1387</v>
      </c>
      <c r="E169" s="7">
        <v>54</v>
      </c>
      <c r="F169" s="7" t="s">
        <v>1397</v>
      </c>
      <c r="G169" s="7">
        <v>18081247962</v>
      </c>
      <c r="I169" s="7" t="s">
        <v>1375</v>
      </c>
      <c r="K169" s="7" t="s">
        <v>1394</v>
      </c>
    </row>
    <row r="170" spans="1:11" ht="35.25" customHeight="1">
      <c r="A170" s="16">
        <v>46032</v>
      </c>
      <c r="B170" s="7" t="s">
        <v>513</v>
      </c>
      <c r="C170" s="7" t="s">
        <v>1399</v>
      </c>
      <c r="D170" s="7" t="s">
        <v>1387</v>
      </c>
      <c r="E170" s="7">
        <v>35</v>
      </c>
      <c r="F170" s="7" t="s">
        <v>1397</v>
      </c>
      <c r="G170" s="7">
        <v>18780334328</v>
      </c>
      <c r="I170" s="7" t="s">
        <v>1375</v>
      </c>
    </row>
    <row r="171" spans="1:11" ht="35.25" customHeight="1">
      <c r="A171" s="16">
        <v>46032</v>
      </c>
      <c r="B171" s="7" t="s">
        <v>513</v>
      </c>
      <c r="C171" s="7" t="s">
        <v>1400</v>
      </c>
      <c r="D171" s="7" t="s">
        <v>1387</v>
      </c>
      <c r="E171" s="7">
        <v>51</v>
      </c>
      <c r="F171" s="7" t="s">
        <v>1386</v>
      </c>
      <c r="I171" s="7" t="s">
        <v>1375</v>
      </c>
      <c r="K171" s="7" t="s">
        <v>1401</v>
      </c>
    </row>
    <row r="172" spans="1:11" ht="35.25" customHeight="1">
      <c r="A172" s="16">
        <v>46033</v>
      </c>
      <c r="B172" s="7" t="s">
        <v>1405</v>
      </c>
      <c r="C172" s="7" t="s">
        <v>1411</v>
      </c>
      <c r="D172" s="7" t="s">
        <v>1412</v>
      </c>
      <c r="E172" s="7">
        <v>46</v>
      </c>
      <c r="G172" s="7">
        <v>17738408500</v>
      </c>
      <c r="I172" s="7" t="s">
        <v>1413</v>
      </c>
      <c r="K172" s="7" t="s">
        <v>1414</v>
      </c>
    </row>
    <row r="173" spans="1:11" ht="35.25" customHeight="1">
      <c r="A173" s="16">
        <v>46033</v>
      </c>
      <c r="B173" s="7" t="s">
        <v>1405</v>
      </c>
      <c r="C173" s="7" t="s">
        <v>1420</v>
      </c>
      <c r="D173" s="7" t="s">
        <v>1412</v>
      </c>
      <c r="E173" s="7">
        <v>53</v>
      </c>
      <c r="G173" s="7">
        <v>13429550569</v>
      </c>
      <c r="I173" s="7" t="s">
        <v>1413</v>
      </c>
      <c r="K173" s="7" t="s">
        <v>1421</v>
      </c>
    </row>
    <row r="174" spans="1:11" ht="35.25" customHeight="1">
      <c r="A174" s="16">
        <v>46034</v>
      </c>
      <c r="B174" s="7" t="s">
        <v>1434</v>
      </c>
      <c r="C174" s="7" t="s">
        <v>1456</v>
      </c>
      <c r="D174" s="7" t="s">
        <v>1435</v>
      </c>
      <c r="E174" s="7">
        <v>41</v>
      </c>
      <c r="G174" s="7">
        <v>13890134564</v>
      </c>
      <c r="I174" s="7" t="s">
        <v>285</v>
      </c>
    </row>
    <row r="175" spans="1:11" ht="35.25" customHeight="1">
      <c r="A175" s="16">
        <v>46034</v>
      </c>
      <c r="B175" s="7" t="s">
        <v>1434</v>
      </c>
      <c r="C175" s="7" t="s">
        <v>1436</v>
      </c>
      <c r="D175" s="7" t="s">
        <v>1435</v>
      </c>
      <c r="E175" s="7">
        <v>44</v>
      </c>
      <c r="G175" s="7">
        <v>19183693486</v>
      </c>
      <c r="I175" s="7" t="s">
        <v>285</v>
      </c>
      <c r="K175" s="7" t="s">
        <v>1437</v>
      </c>
    </row>
    <row r="176" spans="1:11" ht="35.25" customHeight="1">
      <c r="A176" s="16">
        <v>46034</v>
      </c>
      <c r="B176" s="7" t="s">
        <v>1434</v>
      </c>
      <c r="C176" s="7" t="s">
        <v>1438</v>
      </c>
      <c r="D176" s="7" t="s">
        <v>1435</v>
      </c>
      <c r="E176" s="7">
        <v>50</v>
      </c>
      <c r="G176" s="7">
        <v>18681626956</v>
      </c>
      <c r="I176" s="7" t="s">
        <v>285</v>
      </c>
      <c r="K176" s="7" t="s">
        <v>1439</v>
      </c>
    </row>
    <row r="177" spans="1:11" ht="35.25" customHeight="1">
      <c r="A177" s="16">
        <v>46034</v>
      </c>
      <c r="B177" s="7" t="s">
        <v>1434</v>
      </c>
      <c r="G177" s="7">
        <v>13778024968</v>
      </c>
      <c r="I177" s="7" t="s">
        <v>285</v>
      </c>
    </row>
    <row r="178" spans="1:11" ht="35.25" customHeight="1">
      <c r="A178" s="16">
        <v>46034</v>
      </c>
      <c r="B178" s="7" t="s">
        <v>1434</v>
      </c>
      <c r="C178" s="7" t="s">
        <v>1446</v>
      </c>
      <c r="D178" s="7" t="s">
        <v>1435</v>
      </c>
      <c r="E178" s="7">
        <v>46</v>
      </c>
      <c r="G178" s="7">
        <v>18009058525</v>
      </c>
      <c r="I178" s="7" t="s">
        <v>1447</v>
      </c>
    </row>
    <row r="179" spans="1:11" ht="35.25" customHeight="1">
      <c r="A179" s="16">
        <v>46034</v>
      </c>
      <c r="B179" s="7" t="s">
        <v>1434</v>
      </c>
      <c r="G179" s="7">
        <v>16669889767</v>
      </c>
    </row>
    <row r="180" spans="1:11" ht="35.25" customHeight="1">
      <c r="A180" s="16">
        <v>46034</v>
      </c>
      <c r="B180" s="7" t="s">
        <v>1434</v>
      </c>
      <c r="C180" s="7" t="s">
        <v>1498</v>
      </c>
      <c r="D180" s="7" t="s">
        <v>1501</v>
      </c>
      <c r="E180" s="7">
        <v>35</v>
      </c>
      <c r="F180" s="7" t="s">
        <v>1500</v>
      </c>
      <c r="G180" s="7">
        <v>18081255332</v>
      </c>
      <c r="I180" s="7" t="s">
        <v>1499</v>
      </c>
    </row>
    <row r="181" spans="1:11" ht="35.25" customHeight="1">
      <c r="A181" s="16">
        <v>46034</v>
      </c>
      <c r="B181" s="7" t="s">
        <v>1434</v>
      </c>
      <c r="C181" s="7" t="s">
        <v>1505</v>
      </c>
      <c r="D181" s="7" t="s">
        <v>1501</v>
      </c>
      <c r="E181" s="7">
        <v>47</v>
      </c>
      <c r="F181" s="7" t="s">
        <v>1502</v>
      </c>
      <c r="G181" s="7">
        <v>15881618321</v>
      </c>
      <c r="I181" s="7" t="s">
        <v>1503</v>
      </c>
      <c r="K181" s="7" t="s">
        <v>1504</v>
      </c>
    </row>
    <row r="182" spans="1:11" ht="35.25" customHeight="1">
      <c r="A182" s="16">
        <v>46036</v>
      </c>
      <c r="B182" s="7" t="s">
        <v>1512</v>
      </c>
      <c r="C182" s="7" t="s">
        <v>1506</v>
      </c>
      <c r="D182" s="7" t="s">
        <v>1501</v>
      </c>
      <c r="E182" s="7">
        <v>55</v>
      </c>
      <c r="F182" s="7" t="s">
        <v>1507</v>
      </c>
      <c r="G182" s="7">
        <v>15881433757</v>
      </c>
      <c r="I182" s="7" t="s">
        <v>1499</v>
      </c>
      <c r="K182" s="7" t="s">
        <v>1096</v>
      </c>
    </row>
    <row r="183" spans="1:11" ht="35.25" customHeight="1">
      <c r="A183" s="16">
        <v>46036</v>
      </c>
      <c r="B183" s="7" t="s">
        <v>1512</v>
      </c>
      <c r="C183" s="7" t="s">
        <v>1509</v>
      </c>
      <c r="D183" s="7" t="s">
        <v>1501</v>
      </c>
      <c r="E183" s="7">
        <v>60</v>
      </c>
      <c r="F183" s="7" t="s">
        <v>1507</v>
      </c>
      <c r="G183" s="7">
        <v>18281459962</v>
      </c>
      <c r="I183" s="7" t="s">
        <v>1499</v>
      </c>
      <c r="K183" s="7" t="s">
        <v>1096</v>
      </c>
    </row>
    <row r="184" spans="1:11" ht="35.25" customHeight="1">
      <c r="A184" s="16">
        <v>46036</v>
      </c>
      <c r="B184" s="7" t="s">
        <v>1512</v>
      </c>
      <c r="C184" s="7" t="s">
        <v>1508</v>
      </c>
      <c r="D184" s="7" t="s">
        <v>1501</v>
      </c>
      <c r="F184" s="7" t="s">
        <v>1510</v>
      </c>
      <c r="G184" s="7">
        <v>15308323561</v>
      </c>
      <c r="I184" s="7" t="s">
        <v>1499</v>
      </c>
      <c r="K184" s="7" t="s">
        <v>1511</v>
      </c>
    </row>
    <row r="185" spans="1:11" ht="35.25" customHeight="1">
      <c r="A185" s="16">
        <v>46036</v>
      </c>
      <c r="B185" s="7" t="s">
        <v>1512</v>
      </c>
      <c r="D185" s="7" t="s">
        <v>1501</v>
      </c>
      <c r="G185" s="7">
        <v>17780166270</v>
      </c>
    </row>
    <row r="186" spans="1:11" ht="35.25" customHeight="1">
      <c r="A186" s="16">
        <v>46036</v>
      </c>
      <c r="B186" s="7" t="s">
        <v>1512</v>
      </c>
      <c r="C186" s="7" t="s">
        <v>1534</v>
      </c>
      <c r="D186" s="7" t="s">
        <v>1501</v>
      </c>
      <c r="E186" s="7">
        <v>53</v>
      </c>
      <c r="G186" s="7">
        <v>18781688917</v>
      </c>
      <c r="I186" s="7" t="s">
        <v>1523</v>
      </c>
    </row>
    <row r="187" spans="1:11" ht="35.25" customHeight="1">
      <c r="A187" s="16">
        <v>46037</v>
      </c>
      <c r="B187" s="7" t="s">
        <v>582</v>
      </c>
      <c r="C187" s="7" t="s">
        <v>1570</v>
      </c>
      <c r="D187" s="7" t="s">
        <v>1501</v>
      </c>
      <c r="E187" s="7">
        <v>51</v>
      </c>
      <c r="F187" s="7" t="s">
        <v>1572</v>
      </c>
      <c r="G187" s="7">
        <v>18980127615</v>
      </c>
      <c r="I187" s="7" t="s">
        <v>1571</v>
      </c>
    </row>
    <row r="188" spans="1:11" ht="35.25" customHeight="1">
      <c r="A188" s="16">
        <v>46037</v>
      </c>
      <c r="B188" s="7" t="s">
        <v>1569</v>
      </c>
      <c r="C188" s="7" t="s">
        <v>1573</v>
      </c>
      <c r="D188" s="7" t="s">
        <v>1501</v>
      </c>
      <c r="E188" s="7">
        <v>55</v>
      </c>
      <c r="G188" s="7">
        <v>13778013773</v>
      </c>
      <c r="I188" s="7" t="s">
        <v>1582</v>
      </c>
    </row>
    <row r="189" spans="1:11" ht="35.25" customHeight="1">
      <c r="A189" s="16">
        <v>46038</v>
      </c>
      <c r="B189" s="7" t="s">
        <v>1583</v>
      </c>
      <c r="C189" s="7" t="s">
        <v>1586</v>
      </c>
      <c r="D189" s="7" t="s">
        <v>1585</v>
      </c>
      <c r="E189" s="7">
        <v>52</v>
      </c>
      <c r="G189" s="7">
        <v>13208266078</v>
      </c>
      <c r="I189" s="7" t="s">
        <v>1584</v>
      </c>
    </row>
    <row r="190" spans="1:11" ht="35.25" customHeight="1">
      <c r="A190" s="16">
        <v>46038</v>
      </c>
      <c r="B190" s="7" t="s">
        <v>1587</v>
      </c>
      <c r="C190" s="7" t="s">
        <v>1596</v>
      </c>
      <c r="D190" s="7" t="s">
        <v>1595</v>
      </c>
      <c r="E190" s="7">
        <v>51</v>
      </c>
      <c r="G190" s="7">
        <v>15982955724</v>
      </c>
      <c r="K190" s="7" t="s">
        <v>1588</v>
      </c>
    </row>
    <row r="191" spans="1:11" ht="35.25" customHeight="1">
      <c r="A191" s="16">
        <v>46038</v>
      </c>
      <c r="B191" s="7" t="s">
        <v>1587</v>
      </c>
      <c r="C191" s="7" t="s">
        <v>1597</v>
      </c>
      <c r="D191" s="7" t="s">
        <v>1595</v>
      </c>
      <c r="E191" s="7">
        <v>56</v>
      </c>
      <c r="G191" s="7">
        <v>17361210759</v>
      </c>
      <c r="I191" s="7" t="s">
        <v>1598</v>
      </c>
      <c r="K191" s="7" t="s">
        <v>1588</v>
      </c>
    </row>
    <row r="192" spans="1:11" ht="35.25" customHeight="1">
      <c r="A192" s="16">
        <v>46039</v>
      </c>
      <c r="B192" s="7" t="s">
        <v>1607</v>
      </c>
      <c r="C192" s="7" t="s">
        <v>1605</v>
      </c>
      <c r="D192" s="7" t="s">
        <v>1606</v>
      </c>
      <c r="E192" s="7">
        <v>52</v>
      </c>
      <c r="F192" s="7" t="s">
        <v>1603</v>
      </c>
      <c r="G192" s="7">
        <v>18781650619</v>
      </c>
      <c r="I192" s="7" t="s">
        <v>1604</v>
      </c>
      <c r="K192" s="7" t="s">
        <v>1608</v>
      </c>
    </row>
    <row r="193" spans="1:11" ht="35.25" customHeight="1">
      <c r="A193" s="16">
        <v>46041</v>
      </c>
      <c r="B193" s="7" t="s">
        <v>1662</v>
      </c>
      <c r="C193" s="7" t="s">
        <v>1665</v>
      </c>
      <c r="D193" s="7" t="s">
        <v>1666</v>
      </c>
      <c r="E193" s="7">
        <v>53</v>
      </c>
      <c r="F193" s="7" t="s">
        <v>1663</v>
      </c>
      <c r="G193" s="7">
        <v>13458447799</v>
      </c>
      <c r="I193" s="7" t="s">
        <v>1667</v>
      </c>
      <c r="K193" s="7" t="s">
        <v>1588</v>
      </c>
    </row>
    <row r="194" spans="1:11" ht="35.25" customHeight="1">
      <c r="A194" s="16">
        <v>46043</v>
      </c>
      <c r="B194" s="7" t="s">
        <v>1699</v>
      </c>
      <c r="C194" s="7" t="s">
        <v>1700</v>
      </c>
      <c r="D194" s="7" t="s">
        <v>1701</v>
      </c>
      <c r="E194" s="7">
        <v>51</v>
      </c>
      <c r="G194" s="7">
        <v>18981143785</v>
      </c>
      <c r="I194" s="7" t="s">
        <v>59</v>
      </c>
      <c r="K194" s="7" t="s">
        <v>1702</v>
      </c>
    </row>
    <row r="195" spans="1:11" ht="35.25" customHeight="1">
      <c r="A195" s="16">
        <v>46043</v>
      </c>
      <c r="B195" s="7" t="s">
        <v>1699</v>
      </c>
      <c r="C195" s="7" t="s">
        <v>1703</v>
      </c>
      <c r="D195" s="7" t="s">
        <v>1701</v>
      </c>
      <c r="E195" s="7">
        <v>53</v>
      </c>
      <c r="G195" s="7">
        <v>18669074726</v>
      </c>
      <c r="I195" s="7" t="s">
        <v>1704</v>
      </c>
      <c r="K195" s="7" t="s">
        <v>1702</v>
      </c>
    </row>
    <row r="196" spans="1:11" ht="35.25" customHeight="1">
      <c r="A196" s="16">
        <v>46044</v>
      </c>
      <c r="B196" s="7" t="s">
        <v>1721</v>
      </c>
      <c r="C196" s="7" t="s">
        <v>1722</v>
      </c>
      <c r="D196" s="7" t="s">
        <v>1723</v>
      </c>
      <c r="E196" s="7">
        <v>53</v>
      </c>
      <c r="F196" s="7" t="s">
        <v>1725</v>
      </c>
      <c r="G196" s="7">
        <v>15228314885</v>
      </c>
      <c r="I196" s="7" t="s">
        <v>1724</v>
      </c>
    </row>
    <row r="197" spans="1:11" ht="35.25" customHeight="1">
      <c r="A197" s="16">
        <v>46044</v>
      </c>
      <c r="B197" s="7" t="s">
        <v>582</v>
      </c>
      <c r="C197" s="7" t="s">
        <v>1738</v>
      </c>
      <c r="D197" s="7" t="s">
        <v>1739</v>
      </c>
      <c r="E197" s="7">
        <v>44</v>
      </c>
      <c r="G197" s="7">
        <v>15228765636</v>
      </c>
      <c r="I197" s="7" t="s">
        <v>1737</v>
      </c>
      <c r="K197" s="7" t="s">
        <v>1588</v>
      </c>
    </row>
    <row r="198" spans="1:11" ht="35.25" customHeight="1">
      <c r="A198" s="16">
        <v>46044</v>
      </c>
      <c r="B198" s="7" t="s">
        <v>582</v>
      </c>
      <c r="C198" s="7" t="s">
        <v>1740</v>
      </c>
      <c r="D198" s="7" t="s">
        <v>1739</v>
      </c>
      <c r="E198" s="7">
        <v>40</v>
      </c>
      <c r="G198" s="7">
        <v>18381696973</v>
      </c>
      <c r="I198" s="7" t="s">
        <v>1731</v>
      </c>
      <c r="K198" s="7" t="s">
        <v>1588</v>
      </c>
    </row>
    <row r="199" spans="1:11" ht="35.25" customHeight="1">
      <c r="A199" s="16">
        <v>46045</v>
      </c>
      <c r="B199" s="7" t="s">
        <v>1765</v>
      </c>
      <c r="C199" s="7" t="s">
        <v>1741</v>
      </c>
      <c r="D199" s="7" t="s">
        <v>1742</v>
      </c>
      <c r="E199" s="7">
        <v>46</v>
      </c>
      <c r="I199" s="7" t="s">
        <v>1743</v>
      </c>
      <c r="K199" s="7" t="s">
        <v>1744</v>
      </c>
    </row>
    <row r="200" spans="1:11" ht="35.25" customHeight="1">
      <c r="A200" s="16">
        <v>46045</v>
      </c>
      <c r="B200" s="7" t="s">
        <v>1765</v>
      </c>
      <c r="C200" s="7" t="s">
        <v>268</v>
      </c>
      <c r="D200" s="7" t="s">
        <v>256</v>
      </c>
      <c r="E200" s="7">
        <v>49</v>
      </c>
      <c r="F200" s="7" t="s">
        <v>76</v>
      </c>
      <c r="G200" s="7">
        <v>13730719888</v>
      </c>
      <c r="H200" s="7" t="s">
        <v>115</v>
      </c>
      <c r="I200" s="7" t="s">
        <v>264</v>
      </c>
      <c r="K200" s="7" t="s">
        <v>1749</v>
      </c>
    </row>
    <row r="201" spans="1:11" ht="35.25" customHeight="1">
      <c r="A201" s="16">
        <v>46045</v>
      </c>
      <c r="B201" s="7" t="s">
        <v>1765</v>
      </c>
      <c r="C201" s="7" t="s">
        <v>1745</v>
      </c>
      <c r="D201" s="7" t="s">
        <v>1742</v>
      </c>
      <c r="E201" s="7">
        <v>44</v>
      </c>
      <c r="I201" s="7" t="s">
        <v>1743</v>
      </c>
      <c r="K201" s="7" t="s">
        <v>1844</v>
      </c>
    </row>
    <row r="202" spans="1:11" ht="35.25" customHeight="1">
      <c r="A202" s="16">
        <v>46045</v>
      </c>
      <c r="B202" s="7" t="s">
        <v>1765</v>
      </c>
      <c r="C202" s="7" t="s">
        <v>1748</v>
      </c>
      <c r="D202" s="7" t="s">
        <v>1742</v>
      </c>
      <c r="G202" s="7">
        <v>15228727332</v>
      </c>
      <c r="K202" s="7" t="s">
        <v>1747</v>
      </c>
    </row>
    <row r="203" spans="1:11" ht="35.25" customHeight="1">
      <c r="A203" s="16">
        <v>46045</v>
      </c>
      <c r="B203" s="7" t="s">
        <v>1765</v>
      </c>
      <c r="C203" s="7" t="s">
        <v>1750</v>
      </c>
      <c r="D203" s="7" t="s">
        <v>1742</v>
      </c>
      <c r="E203" s="7">
        <v>49</v>
      </c>
      <c r="I203" s="7" t="s">
        <v>1743</v>
      </c>
      <c r="K203" s="7" t="s">
        <v>1751</v>
      </c>
    </row>
    <row r="204" spans="1:11" ht="35.25" customHeight="1">
      <c r="A204" s="16">
        <v>46045</v>
      </c>
      <c r="B204" s="7" t="s">
        <v>1765</v>
      </c>
      <c r="C204" s="7" t="s">
        <v>1752</v>
      </c>
      <c r="D204" s="7" t="s">
        <v>1742</v>
      </c>
      <c r="E204" s="7">
        <v>50</v>
      </c>
      <c r="I204" s="7" t="s">
        <v>1743</v>
      </c>
      <c r="K204" s="7" t="s">
        <v>1753</v>
      </c>
    </row>
    <row r="205" spans="1:11" ht="35.25" customHeight="1">
      <c r="A205" s="16">
        <v>46045</v>
      </c>
      <c r="B205" s="7" t="s">
        <v>1765</v>
      </c>
      <c r="C205" s="7" t="s">
        <v>1754</v>
      </c>
      <c r="D205" s="7" t="s">
        <v>1742</v>
      </c>
      <c r="E205" s="7">
        <v>50</v>
      </c>
      <c r="G205" s="7">
        <v>13398376310</v>
      </c>
      <c r="I205" s="7" t="s">
        <v>1755</v>
      </c>
      <c r="K205" s="7" t="s">
        <v>1756</v>
      </c>
    </row>
    <row r="206" spans="1:11" ht="35.25" customHeight="1">
      <c r="A206" s="16">
        <v>46045</v>
      </c>
      <c r="B206" s="7" t="s">
        <v>1765</v>
      </c>
      <c r="C206" s="7" t="s">
        <v>1758</v>
      </c>
      <c r="D206" s="7" t="s">
        <v>1742</v>
      </c>
      <c r="E206" s="7">
        <v>49</v>
      </c>
      <c r="G206" s="7">
        <v>18284962608</v>
      </c>
      <c r="I206" s="7" t="s">
        <v>1743</v>
      </c>
      <c r="K206" s="7" t="s">
        <v>1753</v>
      </c>
    </row>
    <row r="207" spans="1:11" ht="35.25" customHeight="1">
      <c r="A207" s="16">
        <v>46045</v>
      </c>
      <c r="B207" s="7" t="s">
        <v>1765</v>
      </c>
      <c r="C207" s="7" t="s">
        <v>1759</v>
      </c>
      <c r="D207" s="7" t="s">
        <v>1742</v>
      </c>
      <c r="E207" s="7">
        <v>50</v>
      </c>
      <c r="I207" s="7" t="s">
        <v>1743</v>
      </c>
      <c r="K207" s="7" t="s">
        <v>1760</v>
      </c>
    </row>
    <row r="208" spans="1:11" ht="35.25" customHeight="1">
      <c r="A208" s="16">
        <v>46045</v>
      </c>
      <c r="B208" s="7" t="s">
        <v>1765</v>
      </c>
      <c r="C208" s="7" t="s">
        <v>1761</v>
      </c>
      <c r="D208" s="7" t="s">
        <v>1742</v>
      </c>
      <c r="E208" s="7">
        <v>46</v>
      </c>
      <c r="I208" s="7" t="s">
        <v>1743</v>
      </c>
      <c r="K208" s="7" t="s">
        <v>1762</v>
      </c>
    </row>
    <row r="209" spans="1:11" ht="35.25" customHeight="1">
      <c r="A209" s="16">
        <v>46045</v>
      </c>
      <c r="B209" s="7" t="s">
        <v>1765</v>
      </c>
      <c r="C209" s="7" t="s">
        <v>1763</v>
      </c>
      <c r="D209" s="7" t="s">
        <v>1742</v>
      </c>
      <c r="E209" s="7">
        <v>50</v>
      </c>
      <c r="G209" s="7">
        <v>15386654974</v>
      </c>
      <c r="I209" s="7" t="s">
        <v>1743</v>
      </c>
      <c r="K209" s="7" t="s">
        <v>1753</v>
      </c>
    </row>
    <row r="210" spans="1:11" ht="35.25" customHeight="1">
      <c r="A210" s="16">
        <v>46045</v>
      </c>
      <c r="B210" s="7" t="s">
        <v>1765</v>
      </c>
      <c r="C210" s="7" t="s">
        <v>1764</v>
      </c>
      <c r="D210" s="7" t="s">
        <v>1742</v>
      </c>
      <c r="I210" s="7" t="s">
        <v>1743</v>
      </c>
      <c r="K210" s="7" t="s">
        <v>1746</v>
      </c>
    </row>
    <row r="211" spans="1:11" ht="35.25" customHeight="1">
      <c r="A211" s="16">
        <v>46046</v>
      </c>
      <c r="B211" s="7" t="s">
        <v>1784</v>
      </c>
      <c r="C211" s="7" t="s">
        <v>1780</v>
      </c>
      <c r="D211" s="7" t="s">
        <v>1781</v>
      </c>
      <c r="E211" s="7">
        <v>59</v>
      </c>
      <c r="G211" s="7">
        <v>15983619743</v>
      </c>
      <c r="I211" s="7" t="s">
        <v>1782</v>
      </c>
      <c r="K211" s="7" t="s">
        <v>1783</v>
      </c>
    </row>
    <row r="212" spans="1:11" ht="35.25" customHeight="1">
      <c r="A212" s="16">
        <v>46046</v>
      </c>
      <c r="B212" s="7" t="s">
        <v>1784</v>
      </c>
      <c r="C212" s="7" t="s">
        <v>1819</v>
      </c>
      <c r="D212" s="7" t="s">
        <v>1781</v>
      </c>
      <c r="E212" s="7">
        <v>48</v>
      </c>
      <c r="G212" s="7">
        <v>13350207378</v>
      </c>
      <c r="I212" s="7" t="s">
        <v>1782</v>
      </c>
      <c r="K212" s="7" t="s">
        <v>1783</v>
      </c>
    </row>
    <row r="213" spans="1:11" ht="35.25" customHeight="1">
      <c r="A213" s="16">
        <v>46046</v>
      </c>
      <c r="B213" s="7" t="s">
        <v>1784</v>
      </c>
      <c r="C213" s="7" t="s">
        <v>1820</v>
      </c>
      <c r="D213" s="7" t="s">
        <v>1781</v>
      </c>
      <c r="E213" s="7">
        <v>50</v>
      </c>
      <c r="G213" s="7">
        <v>17308155538</v>
      </c>
      <c r="I213" s="7" t="s">
        <v>1782</v>
      </c>
      <c r="K213" s="7" t="s">
        <v>1783</v>
      </c>
    </row>
    <row r="214" spans="1:11" ht="35.25" customHeight="1">
      <c r="A214" s="16">
        <v>46046</v>
      </c>
      <c r="B214" s="7" t="s">
        <v>1784</v>
      </c>
      <c r="C214" s="7" t="s">
        <v>1821</v>
      </c>
      <c r="D214" s="7" t="s">
        <v>1781</v>
      </c>
      <c r="E214" s="7">
        <v>47</v>
      </c>
      <c r="G214" s="7">
        <v>13340895129</v>
      </c>
      <c r="I214" s="7" t="s">
        <v>1782</v>
      </c>
      <c r="K214" s="7" t="s">
        <v>1822</v>
      </c>
    </row>
    <row r="215" spans="1:11" ht="35.25" customHeight="1">
      <c r="A215" s="16">
        <v>46046</v>
      </c>
      <c r="B215" s="7" t="s">
        <v>1784</v>
      </c>
      <c r="C215" s="7" t="s">
        <v>1823</v>
      </c>
      <c r="D215" s="7" t="s">
        <v>1781</v>
      </c>
      <c r="E215" s="7">
        <v>50</v>
      </c>
      <c r="G215" s="7">
        <v>15681226639</v>
      </c>
      <c r="I215" s="7" t="s">
        <v>1782</v>
      </c>
      <c r="K215" s="7" t="s">
        <v>1783</v>
      </c>
    </row>
    <row r="216" spans="1:11" ht="35.25" customHeight="1">
      <c r="A216" s="16">
        <v>46048</v>
      </c>
      <c r="B216" s="7" t="s">
        <v>1825</v>
      </c>
      <c r="C216" s="7" t="s">
        <v>1837</v>
      </c>
      <c r="D216" s="7" t="s">
        <v>1781</v>
      </c>
      <c r="F216" s="7" t="s">
        <v>1836</v>
      </c>
      <c r="G216" s="7">
        <v>18881105607</v>
      </c>
      <c r="I216" s="7" t="s">
        <v>112</v>
      </c>
      <c r="K216" s="7" t="s">
        <v>1862</v>
      </c>
    </row>
    <row r="217" spans="1:11" ht="35.25" customHeight="1">
      <c r="A217" s="16">
        <v>46048</v>
      </c>
      <c r="B217" s="7" t="s">
        <v>1825</v>
      </c>
      <c r="C217" s="7" t="s">
        <v>1846</v>
      </c>
      <c r="D217" s="7" t="s">
        <v>1845</v>
      </c>
      <c r="E217" s="7">
        <v>52</v>
      </c>
      <c r="G217" s="7">
        <v>17309019489</v>
      </c>
      <c r="I217" s="7" t="s">
        <v>112</v>
      </c>
    </row>
    <row r="218" spans="1:11" ht="35.25" customHeight="1">
      <c r="A218" s="16">
        <v>46049</v>
      </c>
      <c r="B218" s="7" t="s">
        <v>1863</v>
      </c>
      <c r="C218" s="7" t="s">
        <v>1882</v>
      </c>
      <c r="D218" s="7" t="s">
        <v>1873</v>
      </c>
      <c r="E218" s="7">
        <v>54</v>
      </c>
      <c r="F218" s="7" t="s">
        <v>1875</v>
      </c>
      <c r="G218" s="7">
        <v>13350951569</v>
      </c>
      <c r="I218" s="7" t="s">
        <v>1874</v>
      </c>
    </row>
    <row r="219" spans="1:11" ht="35.25" customHeight="1">
      <c r="A219" s="16">
        <v>46049</v>
      </c>
      <c r="B219" s="7" t="s">
        <v>1879</v>
      </c>
      <c r="C219" s="7" t="s">
        <v>1878</v>
      </c>
      <c r="D219" s="7" t="s">
        <v>1880</v>
      </c>
      <c r="E219" s="7">
        <v>43</v>
      </c>
      <c r="F219" s="7" t="s">
        <v>1881</v>
      </c>
      <c r="G219" s="7">
        <v>17313615857</v>
      </c>
      <c r="I219" s="7" t="s">
        <v>1877</v>
      </c>
    </row>
    <row r="220" spans="1:11" ht="35.25" customHeight="1">
      <c r="A220" s="16">
        <v>46049</v>
      </c>
      <c r="B220" s="7" t="s">
        <v>1879</v>
      </c>
      <c r="C220" s="7" t="s">
        <v>1895</v>
      </c>
      <c r="D220" s="7" t="s">
        <v>1880</v>
      </c>
      <c r="E220" s="7">
        <v>51</v>
      </c>
      <c r="F220" s="7" t="s">
        <v>1881</v>
      </c>
      <c r="G220" s="7">
        <v>18281948485</v>
      </c>
      <c r="I220" s="7" t="s">
        <v>1894</v>
      </c>
    </row>
    <row r="221" spans="1:11" ht="35.25" customHeight="1">
      <c r="A221" s="16">
        <v>46054</v>
      </c>
      <c r="B221" s="7" t="s">
        <v>1904</v>
      </c>
      <c r="C221" s="7" t="s">
        <v>1916</v>
      </c>
      <c r="D221" s="7" t="s">
        <v>1917</v>
      </c>
      <c r="E221" s="7">
        <v>52</v>
      </c>
      <c r="F221" s="7" t="s">
        <v>1918</v>
      </c>
      <c r="G221" s="7">
        <v>18081238152</v>
      </c>
      <c r="I221" s="7" t="s">
        <v>1919</v>
      </c>
    </row>
    <row r="222" spans="1:11" ht="35.25" customHeight="1">
      <c r="A222" s="16">
        <v>46054</v>
      </c>
      <c r="B222" s="7" t="s">
        <v>1904</v>
      </c>
      <c r="C222" s="7" t="s">
        <v>1920</v>
      </c>
      <c r="D222" s="7" t="s">
        <v>1917</v>
      </c>
      <c r="E222" s="7">
        <v>52</v>
      </c>
      <c r="F222" s="7" t="s">
        <v>1912</v>
      </c>
      <c r="G222" s="7">
        <v>18780501628</v>
      </c>
      <c r="I222" s="7" t="s">
        <v>1906</v>
      </c>
      <c r="K222" s="7" t="s">
        <v>1921</v>
      </c>
    </row>
    <row r="223" spans="1:11" ht="35.25" customHeight="1">
      <c r="A223" s="16">
        <v>46054</v>
      </c>
      <c r="B223" s="7" t="s">
        <v>1904</v>
      </c>
      <c r="C223" s="7" t="s">
        <v>1922</v>
      </c>
      <c r="D223" s="7" t="s">
        <v>1917</v>
      </c>
      <c r="E223" s="7">
        <v>52</v>
      </c>
      <c r="G223" s="7">
        <v>18190002038</v>
      </c>
      <c r="I223" s="7" t="s">
        <v>1906</v>
      </c>
    </row>
    <row r="224" spans="1:11" ht="35.25" customHeight="1">
      <c r="A224" s="16">
        <v>46054</v>
      </c>
      <c r="B224" s="7" t="s">
        <v>1904</v>
      </c>
      <c r="C224" s="7" t="s">
        <v>1923</v>
      </c>
      <c r="D224" s="7" t="s">
        <v>1917</v>
      </c>
      <c r="E224" s="7">
        <v>47</v>
      </c>
      <c r="G224" s="7">
        <v>13550804303</v>
      </c>
      <c r="I224" s="7" t="s">
        <v>1906</v>
      </c>
      <c r="K224" s="7" t="s">
        <v>1921</v>
      </c>
    </row>
    <row r="225" spans="1:11" ht="35.25" customHeight="1">
      <c r="A225" s="16">
        <v>46054</v>
      </c>
      <c r="B225" s="7" t="s">
        <v>1904</v>
      </c>
      <c r="C225" s="7" t="s">
        <v>1924</v>
      </c>
      <c r="D225" s="7" t="s">
        <v>1917</v>
      </c>
      <c r="E225" s="7">
        <v>49</v>
      </c>
      <c r="G225" s="7">
        <v>15182475798</v>
      </c>
      <c r="I225" s="7" t="s">
        <v>1906</v>
      </c>
      <c r="K225" s="7" t="s">
        <v>1921</v>
      </c>
    </row>
    <row r="226" spans="1:11" ht="35.25" customHeight="1">
      <c r="A226" s="16">
        <v>46054</v>
      </c>
      <c r="B226" s="7" t="s">
        <v>1904</v>
      </c>
      <c r="C226" s="7" t="s">
        <v>1925</v>
      </c>
      <c r="D226" s="7" t="s">
        <v>1917</v>
      </c>
      <c r="E226" s="7">
        <v>49</v>
      </c>
      <c r="G226" s="7">
        <v>15280923452</v>
      </c>
      <c r="I226" s="7" t="s">
        <v>1906</v>
      </c>
      <c r="K226" s="7" t="s">
        <v>1921</v>
      </c>
    </row>
    <row r="227" spans="1:11" ht="35.25" customHeight="1">
      <c r="A227" s="16">
        <v>46054</v>
      </c>
      <c r="B227" s="7" t="s">
        <v>1904</v>
      </c>
      <c r="C227" s="7" t="s">
        <v>1937</v>
      </c>
      <c r="E227" s="7">
        <v>50</v>
      </c>
      <c r="G227" s="7">
        <v>15882891345</v>
      </c>
      <c r="I227" s="7" t="s">
        <v>1931</v>
      </c>
      <c r="K227" s="7" t="s">
        <v>1932</v>
      </c>
    </row>
    <row r="228" spans="1:11" ht="35.25" customHeight="1">
      <c r="A228" s="16">
        <v>46055</v>
      </c>
      <c r="B228" s="7" t="s">
        <v>1904</v>
      </c>
      <c r="C228" s="7" t="s">
        <v>1988</v>
      </c>
      <c r="D228" s="7" t="s">
        <v>1987</v>
      </c>
      <c r="E228" s="7">
        <v>55</v>
      </c>
      <c r="G228" s="7">
        <v>15182415441</v>
      </c>
      <c r="I228" s="7" t="s">
        <v>1989</v>
      </c>
    </row>
    <row r="229" spans="1:11" ht="35.25" customHeight="1">
      <c r="A229" s="16">
        <v>46055</v>
      </c>
      <c r="B229" s="7" t="s">
        <v>1904</v>
      </c>
      <c r="C229" s="7" t="s">
        <v>1990</v>
      </c>
      <c r="D229" s="7" t="s">
        <v>1987</v>
      </c>
      <c r="E229" s="7">
        <v>53</v>
      </c>
      <c r="G229" s="7">
        <v>15883520495</v>
      </c>
      <c r="I229" s="7" t="s">
        <v>1989</v>
      </c>
    </row>
    <row r="230" spans="1:11" ht="35.25" customHeight="1">
      <c r="A230" s="16">
        <v>46055</v>
      </c>
      <c r="B230" s="7" t="s">
        <v>546</v>
      </c>
      <c r="C230" s="7" t="s">
        <v>1993</v>
      </c>
      <c r="D230" s="7" t="s">
        <v>1987</v>
      </c>
      <c r="E230" s="7">
        <v>58</v>
      </c>
      <c r="G230" s="7">
        <v>18011137001</v>
      </c>
      <c r="I230" s="7" t="s">
        <v>1989</v>
      </c>
    </row>
    <row r="231" spans="1:11" ht="35.25" customHeight="1">
      <c r="A231" s="16">
        <v>46055</v>
      </c>
      <c r="B231" s="7" t="s">
        <v>546</v>
      </c>
      <c r="C231" s="7" t="s">
        <v>1995</v>
      </c>
      <c r="D231" s="7" t="s">
        <v>1998</v>
      </c>
      <c r="E231" s="7">
        <v>57</v>
      </c>
      <c r="G231" s="7">
        <v>17313561610</v>
      </c>
      <c r="I231" s="7" t="s">
        <v>1989</v>
      </c>
    </row>
    <row r="232" spans="1:11" ht="35.25" customHeight="1">
      <c r="A232" s="16">
        <v>46055</v>
      </c>
      <c r="B232" s="7" t="s">
        <v>546</v>
      </c>
      <c r="C232" s="7" t="s">
        <v>1999</v>
      </c>
      <c r="D232" s="7" t="s">
        <v>1997</v>
      </c>
      <c r="E232" s="7">
        <v>43</v>
      </c>
      <c r="F232" s="7" t="s">
        <v>1996</v>
      </c>
      <c r="G232" s="7">
        <v>15280949077</v>
      </c>
      <c r="I232" s="7" t="s">
        <v>125</v>
      </c>
    </row>
    <row r="233" spans="1:11" ht="35.25" customHeight="1">
      <c r="A233" s="16">
        <v>46056</v>
      </c>
      <c r="B233" s="7" t="s">
        <v>546</v>
      </c>
      <c r="C233" s="7" t="s">
        <v>2292</v>
      </c>
      <c r="D233" s="7" t="s">
        <v>2286</v>
      </c>
      <c r="E233" s="7">
        <v>48</v>
      </c>
      <c r="F233" s="7" t="s">
        <v>2293</v>
      </c>
      <c r="G233" s="7">
        <v>15982961569</v>
      </c>
      <c r="I233" s="7" t="s">
        <v>112</v>
      </c>
    </row>
    <row r="234" spans="1:11" ht="35.25" customHeight="1">
      <c r="A234" s="16">
        <v>46056</v>
      </c>
      <c r="B234" s="7" t="s">
        <v>546</v>
      </c>
      <c r="C234" s="7" t="s">
        <v>2021</v>
      </c>
      <c r="D234" s="7" t="s">
        <v>2022</v>
      </c>
      <c r="E234" s="7">
        <v>44</v>
      </c>
      <c r="F234" s="7" t="s">
        <v>2019</v>
      </c>
      <c r="G234" s="7">
        <v>18180895770</v>
      </c>
      <c r="I234" s="7" t="s">
        <v>2020</v>
      </c>
    </row>
    <row r="235" spans="1:11" ht="35.25" customHeight="1">
      <c r="A235" s="16">
        <v>46056</v>
      </c>
      <c r="B235" s="7" t="s">
        <v>546</v>
      </c>
      <c r="C235" s="7" t="s">
        <v>2024</v>
      </c>
      <c r="D235" s="7" t="s">
        <v>2022</v>
      </c>
      <c r="E235" s="7">
        <v>42</v>
      </c>
      <c r="F235" s="7" t="s">
        <v>2023</v>
      </c>
      <c r="G235" s="7">
        <v>18990196902</v>
      </c>
      <c r="I235" s="7" t="s">
        <v>2012</v>
      </c>
      <c r="K235" s="7" t="s">
        <v>2025</v>
      </c>
    </row>
    <row r="236" spans="1:11" ht="35.25" customHeight="1">
      <c r="A236" s="16">
        <v>46056</v>
      </c>
      <c r="B236" s="7" t="s">
        <v>546</v>
      </c>
      <c r="C236" s="7" t="s">
        <v>2028</v>
      </c>
      <c r="D236" s="7" t="s">
        <v>2022</v>
      </c>
      <c r="E236" s="7">
        <v>42</v>
      </c>
      <c r="F236" s="7" t="s">
        <v>2032</v>
      </c>
      <c r="G236" s="7">
        <v>18281626560</v>
      </c>
      <c r="I236" s="7" t="s">
        <v>2027</v>
      </c>
    </row>
    <row r="237" spans="1:11" ht="35.25" customHeight="1">
      <c r="A237" s="16">
        <v>46056</v>
      </c>
      <c r="B237" s="7" t="s">
        <v>546</v>
      </c>
      <c r="C237" s="7" t="s">
        <v>2030</v>
      </c>
      <c r="D237" s="7" t="s">
        <v>2022</v>
      </c>
      <c r="E237" s="7">
        <v>42</v>
      </c>
      <c r="F237" s="7" t="s">
        <v>2031</v>
      </c>
      <c r="G237" s="7">
        <v>15228384593</v>
      </c>
      <c r="I237" s="7" t="s">
        <v>2029</v>
      </c>
    </row>
    <row r="238" spans="1:11" ht="35.25" customHeight="1">
      <c r="A238" s="16">
        <v>46056</v>
      </c>
      <c r="B238" s="7" t="s">
        <v>546</v>
      </c>
      <c r="C238" s="7" t="s">
        <v>2033</v>
      </c>
      <c r="D238" s="7" t="s">
        <v>2022</v>
      </c>
      <c r="E238" s="7">
        <v>50</v>
      </c>
      <c r="F238" s="7" t="s">
        <v>2032</v>
      </c>
      <c r="G238" s="7">
        <v>13158892872</v>
      </c>
      <c r="I238" s="7" t="s">
        <v>2020</v>
      </c>
      <c r="K238" s="7" t="s">
        <v>2034</v>
      </c>
    </row>
    <row r="239" spans="1:11" ht="35.25" customHeight="1">
      <c r="A239" s="16">
        <v>46056</v>
      </c>
      <c r="B239" s="7" t="s">
        <v>546</v>
      </c>
      <c r="C239" s="7" t="s">
        <v>2035</v>
      </c>
      <c r="D239" s="7" t="s">
        <v>2022</v>
      </c>
      <c r="E239" s="7">
        <v>32</v>
      </c>
      <c r="G239" s="7">
        <v>17888409655</v>
      </c>
      <c r="I239" s="7" t="s">
        <v>2020</v>
      </c>
      <c r="K239" s="7" t="s">
        <v>2036</v>
      </c>
    </row>
    <row r="240" spans="1:11" ht="35.25" customHeight="1">
      <c r="A240" s="16">
        <v>46056</v>
      </c>
      <c r="B240" s="7" t="s">
        <v>546</v>
      </c>
      <c r="C240" s="7" t="s">
        <v>2037</v>
      </c>
      <c r="D240" s="7" t="s">
        <v>2022</v>
      </c>
      <c r="E240" s="7">
        <v>48</v>
      </c>
      <c r="F240" s="7" t="s">
        <v>2019</v>
      </c>
      <c r="G240" s="7">
        <v>13678235567</v>
      </c>
      <c r="I240" s="7" t="s">
        <v>2020</v>
      </c>
    </row>
    <row r="241" spans="1:11" ht="35.25" customHeight="1">
      <c r="A241" s="16">
        <v>46056</v>
      </c>
      <c r="B241" s="7" t="s">
        <v>546</v>
      </c>
      <c r="C241" s="7" t="s">
        <v>2038</v>
      </c>
      <c r="D241" s="7" t="s">
        <v>2022</v>
      </c>
      <c r="E241" s="7">
        <v>42</v>
      </c>
      <c r="G241" s="7">
        <v>13541432867</v>
      </c>
      <c r="I241" s="7" t="s">
        <v>2020</v>
      </c>
    </row>
    <row r="242" spans="1:11" ht="35.25" customHeight="1">
      <c r="A242" s="16">
        <v>46056</v>
      </c>
      <c r="B242" s="7" t="s">
        <v>546</v>
      </c>
      <c r="C242" s="7" t="s">
        <v>2039</v>
      </c>
      <c r="D242" s="7" t="s">
        <v>2022</v>
      </c>
      <c r="E242" s="7">
        <v>49</v>
      </c>
      <c r="G242" s="7">
        <v>15281602706</v>
      </c>
      <c r="I242" s="7" t="s">
        <v>2020</v>
      </c>
    </row>
    <row r="243" spans="1:11" ht="35.25" customHeight="1">
      <c r="A243" s="16">
        <v>46056</v>
      </c>
      <c r="B243" s="7" t="s">
        <v>546</v>
      </c>
      <c r="C243" s="7" t="s">
        <v>2040</v>
      </c>
      <c r="D243" s="7" t="s">
        <v>2041</v>
      </c>
      <c r="E243" s="7">
        <v>49</v>
      </c>
      <c r="G243" s="7">
        <v>13795775702</v>
      </c>
      <c r="I243" s="7" t="s">
        <v>2020</v>
      </c>
      <c r="K243" s="7" t="s">
        <v>2042</v>
      </c>
    </row>
    <row r="244" spans="1:11" ht="35.25" customHeight="1">
      <c r="A244" s="16">
        <v>46056</v>
      </c>
      <c r="B244" s="7" t="s">
        <v>546</v>
      </c>
      <c r="C244" s="7" t="s">
        <v>2043</v>
      </c>
      <c r="D244" s="7" t="s">
        <v>2022</v>
      </c>
      <c r="E244" s="7">
        <v>50</v>
      </c>
      <c r="G244" s="7">
        <v>17361292911</v>
      </c>
      <c r="I244" s="7" t="s">
        <v>2020</v>
      </c>
      <c r="K244" s="7" t="s">
        <v>2044</v>
      </c>
    </row>
    <row r="245" spans="1:11" ht="35.25" customHeight="1">
      <c r="A245" s="16">
        <v>46056</v>
      </c>
      <c r="B245" s="7" t="s">
        <v>546</v>
      </c>
      <c r="C245" s="7" t="s">
        <v>2045</v>
      </c>
      <c r="D245" s="7" t="s">
        <v>2022</v>
      </c>
      <c r="E245" s="7">
        <v>47</v>
      </c>
      <c r="G245" s="7">
        <v>15983698995</v>
      </c>
      <c r="I245" s="7" t="s">
        <v>2020</v>
      </c>
    </row>
    <row r="246" spans="1:11" ht="35.25" customHeight="1">
      <c r="A246" s="16">
        <v>46056</v>
      </c>
      <c r="B246" s="7" t="s">
        <v>546</v>
      </c>
      <c r="C246" s="7" t="s">
        <v>2046</v>
      </c>
      <c r="D246" s="7" t="s">
        <v>2022</v>
      </c>
      <c r="E246" s="7">
        <v>49</v>
      </c>
      <c r="G246" s="7">
        <v>18381664323</v>
      </c>
      <c r="I246" s="7" t="s">
        <v>2020</v>
      </c>
    </row>
    <row r="247" spans="1:11" ht="35.25" customHeight="1">
      <c r="A247" s="16">
        <v>46056</v>
      </c>
      <c r="B247" s="7" t="s">
        <v>546</v>
      </c>
      <c r="C247" s="7" t="s">
        <v>2047</v>
      </c>
      <c r="D247" s="7" t="s">
        <v>2022</v>
      </c>
      <c r="E247" s="7">
        <v>46</v>
      </c>
      <c r="G247" s="7">
        <v>13698124712</v>
      </c>
      <c r="I247" s="7" t="s">
        <v>2020</v>
      </c>
    </row>
    <row r="248" spans="1:11" ht="35.25" customHeight="1">
      <c r="A248" s="16">
        <v>46056</v>
      </c>
      <c r="B248" s="7" t="s">
        <v>546</v>
      </c>
      <c r="C248" s="7" t="s">
        <v>2048</v>
      </c>
      <c r="D248" s="7" t="s">
        <v>2022</v>
      </c>
      <c r="E248" s="7">
        <v>49</v>
      </c>
      <c r="G248" s="7">
        <v>13881148560</v>
      </c>
      <c r="I248" s="7" t="s">
        <v>2020</v>
      </c>
    </row>
    <row r="249" spans="1:11" ht="35.25" customHeight="1">
      <c r="A249" s="16">
        <v>46056</v>
      </c>
      <c r="B249" s="7" t="s">
        <v>546</v>
      </c>
      <c r="C249" s="7" t="s">
        <v>2049</v>
      </c>
      <c r="D249" s="7" t="s">
        <v>2022</v>
      </c>
      <c r="E249" s="7">
        <v>39</v>
      </c>
      <c r="G249" s="7">
        <v>13350961150</v>
      </c>
      <c r="I249" s="7" t="s">
        <v>112</v>
      </c>
    </row>
    <row r="250" spans="1:11" ht="35.25" customHeight="1">
      <c r="A250" s="16">
        <v>46056</v>
      </c>
      <c r="B250" s="7" t="s">
        <v>546</v>
      </c>
      <c r="C250" s="7" t="s">
        <v>2050</v>
      </c>
      <c r="D250" s="7" t="s">
        <v>66</v>
      </c>
      <c r="E250" s="7">
        <v>52</v>
      </c>
      <c r="G250" s="7">
        <v>13778174308</v>
      </c>
      <c r="I250" s="7" t="s">
        <v>112</v>
      </c>
    </row>
    <row r="251" spans="1:11" ht="35.25" customHeight="1">
      <c r="A251" s="16">
        <v>46056</v>
      </c>
      <c r="B251" s="7" t="s">
        <v>546</v>
      </c>
      <c r="C251" s="7" t="s">
        <v>2051</v>
      </c>
      <c r="D251" s="7" t="s">
        <v>66</v>
      </c>
      <c r="E251" s="7">
        <v>41</v>
      </c>
      <c r="F251" s="7" t="s">
        <v>2052</v>
      </c>
      <c r="G251" s="7">
        <v>13350499420</v>
      </c>
      <c r="I251" s="7" t="s">
        <v>112</v>
      </c>
    </row>
    <row r="252" spans="1:11" ht="35.25" customHeight="1">
      <c r="A252" s="16">
        <v>46056</v>
      </c>
      <c r="B252" s="7" t="s">
        <v>546</v>
      </c>
      <c r="C252" s="7" t="s">
        <v>2053</v>
      </c>
      <c r="D252" s="7" t="s">
        <v>66</v>
      </c>
      <c r="G252" s="7">
        <v>15281130534</v>
      </c>
      <c r="I252" s="7" t="s">
        <v>112</v>
      </c>
      <c r="K252" s="7" t="s">
        <v>2054</v>
      </c>
    </row>
    <row r="253" spans="1:11" ht="35.25" customHeight="1">
      <c r="A253" s="16">
        <v>46056</v>
      </c>
      <c r="B253" s="7" t="s">
        <v>546</v>
      </c>
      <c r="C253" s="7" t="s">
        <v>2055</v>
      </c>
      <c r="D253" s="7" t="s">
        <v>66</v>
      </c>
      <c r="G253" s="7">
        <v>15881651904</v>
      </c>
      <c r="K253" s="7" t="s">
        <v>2056</v>
      </c>
    </row>
    <row r="254" spans="1:11" ht="35.25" customHeight="1">
      <c r="A254" s="16">
        <v>46056</v>
      </c>
      <c r="B254" s="7" t="s">
        <v>546</v>
      </c>
      <c r="C254" s="7" t="s">
        <v>2057</v>
      </c>
      <c r="D254" s="7" t="s">
        <v>66</v>
      </c>
      <c r="E254" s="7">
        <v>51</v>
      </c>
      <c r="K254" s="7" t="s">
        <v>2058</v>
      </c>
    </row>
    <row r="255" spans="1:11" ht="35.25" customHeight="1">
      <c r="A255" s="16">
        <v>46056</v>
      </c>
      <c r="B255" s="7" t="s">
        <v>546</v>
      </c>
      <c r="C255" s="7" t="s">
        <v>1065</v>
      </c>
      <c r="D255" s="7" t="s">
        <v>66</v>
      </c>
      <c r="K255" s="7" t="s">
        <v>2059</v>
      </c>
    </row>
    <row r="256" spans="1:11" ht="35.25" customHeight="1">
      <c r="A256" s="16">
        <v>46056</v>
      </c>
      <c r="B256" s="7" t="s">
        <v>546</v>
      </c>
      <c r="D256" s="7" t="s">
        <v>66</v>
      </c>
      <c r="G256" s="7">
        <v>15908240632</v>
      </c>
    </row>
    <row r="257" spans="1:12" ht="35.25" customHeight="1">
      <c r="A257" s="16">
        <v>46056</v>
      </c>
      <c r="B257" s="7" t="s">
        <v>546</v>
      </c>
      <c r="D257" s="7" t="s">
        <v>66</v>
      </c>
      <c r="G257" s="7">
        <v>19808168828</v>
      </c>
    </row>
    <row r="258" spans="1:12" ht="35.25" customHeight="1">
      <c r="A258" s="16">
        <v>46056</v>
      </c>
      <c r="B258" s="7" t="s">
        <v>546</v>
      </c>
      <c r="C258" s="7" t="s">
        <v>2061</v>
      </c>
      <c r="D258" s="7" t="s">
        <v>66</v>
      </c>
      <c r="F258" s="7" t="s">
        <v>2062</v>
      </c>
      <c r="G258" s="7">
        <v>17313671393</v>
      </c>
      <c r="I258" s="7" t="s">
        <v>2060</v>
      </c>
    </row>
    <row r="259" spans="1:12" ht="35.25" customHeight="1">
      <c r="A259" s="16">
        <v>46056</v>
      </c>
      <c r="B259" s="7" t="s">
        <v>546</v>
      </c>
      <c r="C259" s="7" t="s">
        <v>2063</v>
      </c>
      <c r="D259" s="7" t="s">
        <v>66</v>
      </c>
      <c r="E259" s="7">
        <v>47</v>
      </c>
      <c r="F259" s="7" t="s">
        <v>2062</v>
      </c>
      <c r="G259" s="7">
        <v>15181648575</v>
      </c>
      <c r="I259" s="7" t="s">
        <v>2064</v>
      </c>
    </row>
    <row r="260" spans="1:12" ht="35.25" customHeight="1">
      <c r="A260" s="16">
        <v>46058</v>
      </c>
      <c r="B260" s="7" t="s">
        <v>546</v>
      </c>
      <c r="C260" s="7" t="s">
        <v>2073</v>
      </c>
      <c r="D260" s="7" t="s">
        <v>2074</v>
      </c>
      <c r="E260" s="7">
        <v>48</v>
      </c>
      <c r="G260" s="7">
        <v>13350207378</v>
      </c>
      <c r="I260" s="7" t="s">
        <v>2075</v>
      </c>
      <c r="K260" s="7" t="s">
        <v>2076</v>
      </c>
    </row>
    <row r="261" spans="1:12" ht="35.25" customHeight="1">
      <c r="A261" s="16">
        <v>46058</v>
      </c>
      <c r="B261" s="7" t="s">
        <v>546</v>
      </c>
      <c r="C261" s="7" t="s">
        <v>2077</v>
      </c>
      <c r="D261" s="7" t="s">
        <v>66</v>
      </c>
      <c r="E261" s="7">
        <v>51</v>
      </c>
      <c r="G261" s="7">
        <v>18009078816</v>
      </c>
      <c r="I261" s="7" t="s">
        <v>2075</v>
      </c>
    </row>
    <row r="262" spans="1:12" ht="35.25" customHeight="1">
      <c r="A262" s="16">
        <v>46058</v>
      </c>
      <c r="B262" s="7" t="s">
        <v>546</v>
      </c>
      <c r="C262" s="7" t="s">
        <v>2078</v>
      </c>
      <c r="D262" s="7" t="s">
        <v>66</v>
      </c>
      <c r="E262" s="7">
        <v>44</v>
      </c>
      <c r="G262" s="7">
        <v>18181745418</v>
      </c>
      <c r="I262" s="7" t="s">
        <v>2075</v>
      </c>
      <c r="K262" s="7" t="s">
        <v>2079</v>
      </c>
    </row>
    <row r="263" spans="1:12" ht="35.25" customHeight="1">
      <c r="A263" s="16">
        <v>46058</v>
      </c>
      <c r="B263" s="7" t="s">
        <v>1765</v>
      </c>
      <c r="C263" s="7" t="s">
        <v>1757</v>
      </c>
      <c r="D263" s="7" t="s">
        <v>1742</v>
      </c>
      <c r="E263" s="7">
        <v>38</v>
      </c>
      <c r="K263" s="7" t="s">
        <v>1746</v>
      </c>
    </row>
    <row r="264" spans="1:12" ht="35.25" customHeight="1">
      <c r="A264" s="16">
        <v>46058</v>
      </c>
      <c r="B264" s="7" t="s">
        <v>546</v>
      </c>
      <c r="C264" s="7" t="s">
        <v>2080</v>
      </c>
      <c r="D264" s="7" t="s">
        <v>66</v>
      </c>
      <c r="E264" s="7">
        <v>44</v>
      </c>
      <c r="G264" s="7">
        <v>18227005155</v>
      </c>
      <c r="I264" s="7" t="s">
        <v>2075</v>
      </c>
      <c r="K264" s="7" t="s">
        <v>2081</v>
      </c>
      <c r="L264" s="11" t="s">
        <v>2082</v>
      </c>
    </row>
    <row r="265" spans="1:12" ht="35.25" customHeight="1">
      <c r="A265" s="16">
        <v>46058</v>
      </c>
      <c r="B265" s="7" t="s">
        <v>546</v>
      </c>
      <c r="C265" s="7" t="s">
        <v>2083</v>
      </c>
      <c r="D265" s="7" t="s">
        <v>2074</v>
      </c>
      <c r="E265" s="7">
        <v>43</v>
      </c>
      <c r="I265" s="7" t="s">
        <v>2075</v>
      </c>
      <c r="J265" s="7" t="s">
        <v>2085</v>
      </c>
      <c r="K265" s="7" t="s">
        <v>2086</v>
      </c>
    </row>
    <row r="266" spans="1:12" ht="35.25" customHeight="1">
      <c r="A266" s="16">
        <v>46058</v>
      </c>
      <c r="B266" s="7" t="s">
        <v>546</v>
      </c>
      <c r="C266" s="7" t="s">
        <v>2087</v>
      </c>
      <c r="D266" s="7" t="s">
        <v>66</v>
      </c>
      <c r="E266" s="7">
        <v>42</v>
      </c>
      <c r="G266" s="7">
        <v>18144258191</v>
      </c>
      <c r="I266" s="7" t="s">
        <v>2075</v>
      </c>
      <c r="K266" s="7" t="s">
        <v>2088</v>
      </c>
    </row>
    <row r="267" spans="1:12" ht="35.25" customHeight="1">
      <c r="A267" s="16">
        <v>46059</v>
      </c>
      <c r="B267" s="7" t="s">
        <v>546</v>
      </c>
      <c r="C267" s="7" t="s">
        <v>2113</v>
      </c>
      <c r="D267" s="7" t="s">
        <v>66</v>
      </c>
      <c r="E267" s="7">
        <v>36</v>
      </c>
      <c r="G267" s="7">
        <v>18081243753</v>
      </c>
      <c r="I267" s="7" t="s">
        <v>2075</v>
      </c>
      <c r="K267" s="7" t="s">
        <v>2114</v>
      </c>
    </row>
    <row r="268" spans="1:12" ht="35.25" customHeight="1">
      <c r="A268" s="16">
        <v>46059</v>
      </c>
      <c r="B268" s="7" t="s">
        <v>546</v>
      </c>
      <c r="C268" s="7" t="s">
        <v>2117</v>
      </c>
      <c r="D268" s="7" t="s">
        <v>66</v>
      </c>
      <c r="E268" s="7">
        <v>51</v>
      </c>
      <c r="G268" s="7">
        <v>17381693694</v>
      </c>
      <c r="I268" s="7" t="s">
        <v>179</v>
      </c>
    </row>
    <row r="269" spans="1:12" ht="35.25" customHeight="1">
      <c r="A269" s="16">
        <v>46060</v>
      </c>
      <c r="B269" s="7" t="s">
        <v>2121</v>
      </c>
      <c r="C269" s="7" t="s">
        <v>2128</v>
      </c>
      <c r="D269" s="7" t="s">
        <v>2126</v>
      </c>
      <c r="E269" s="7">
        <v>48</v>
      </c>
      <c r="F269" s="7" t="s">
        <v>2127</v>
      </c>
      <c r="G269" s="7">
        <v>15196227794</v>
      </c>
      <c r="I269" s="7" t="s">
        <v>112</v>
      </c>
    </row>
    <row r="270" spans="1:12" ht="35.25" customHeight="1">
      <c r="A270" s="16">
        <v>46079</v>
      </c>
      <c r="B270" s="7" t="s">
        <v>2253</v>
      </c>
      <c r="C270" s="7" t="s">
        <v>2252</v>
      </c>
      <c r="D270" s="7" t="s">
        <v>2254</v>
      </c>
      <c r="E270" s="7">
        <v>51</v>
      </c>
      <c r="F270" s="7" t="s">
        <v>2255</v>
      </c>
      <c r="G270" s="7">
        <v>18784020924</v>
      </c>
      <c r="I270" s="7" t="s">
        <v>2256</v>
      </c>
      <c r="K270" s="7" t="s">
        <v>2257</v>
      </c>
    </row>
    <row r="271" spans="1:12" ht="35.25" customHeight="1">
      <c r="A271" s="16">
        <v>46079</v>
      </c>
      <c r="B271" s="7" t="s">
        <v>2253</v>
      </c>
      <c r="C271" s="7" t="s">
        <v>2270</v>
      </c>
      <c r="D271" s="7" t="s">
        <v>2254</v>
      </c>
      <c r="E271" s="7">
        <v>51</v>
      </c>
      <c r="F271" s="7" t="s">
        <v>2271</v>
      </c>
      <c r="G271" s="7">
        <v>13550869701</v>
      </c>
      <c r="I271" s="7" t="s">
        <v>2273</v>
      </c>
      <c r="J271" s="7" t="s">
        <v>2274</v>
      </c>
      <c r="K271" s="7" t="s">
        <v>2272</v>
      </c>
    </row>
    <row r="272" spans="1:12" ht="35.25" customHeight="1">
      <c r="A272" s="16">
        <v>46079</v>
      </c>
      <c r="B272" s="7" t="s">
        <v>2253</v>
      </c>
      <c r="C272" s="7" t="s">
        <v>2279</v>
      </c>
      <c r="D272" s="7" t="s">
        <v>2254</v>
      </c>
      <c r="E272" s="7">
        <v>50</v>
      </c>
      <c r="F272" s="7" t="s">
        <v>2278</v>
      </c>
      <c r="G272" s="7">
        <v>18981173239</v>
      </c>
      <c r="I272" s="7" t="s">
        <v>2256</v>
      </c>
      <c r="K272" s="7" t="s">
        <v>2280</v>
      </c>
    </row>
    <row r="273" spans="1:11" ht="35.25" customHeight="1">
      <c r="A273" s="16">
        <v>46079</v>
      </c>
      <c r="B273" s="7" t="s">
        <v>2253</v>
      </c>
      <c r="C273" s="7" t="s">
        <v>2281</v>
      </c>
      <c r="D273" s="7" t="s">
        <v>2254</v>
      </c>
      <c r="E273" s="7">
        <v>55</v>
      </c>
      <c r="F273" s="7" t="s">
        <v>2255</v>
      </c>
      <c r="G273" s="7">
        <v>15308260080</v>
      </c>
      <c r="I273" s="7" t="s">
        <v>2269</v>
      </c>
      <c r="K273" s="7" t="s">
        <v>2282</v>
      </c>
    </row>
    <row r="274" spans="1:11" ht="35.25" customHeight="1">
      <c r="A274" s="16">
        <v>46079</v>
      </c>
      <c r="B274" s="7" t="s">
        <v>2253</v>
      </c>
      <c r="C274" s="7" t="s">
        <v>2283</v>
      </c>
      <c r="D274" s="7" t="s">
        <v>2254</v>
      </c>
      <c r="E274" s="7">
        <v>53</v>
      </c>
      <c r="F274" s="7" t="s">
        <v>2278</v>
      </c>
      <c r="G274" s="7">
        <v>15280974528</v>
      </c>
      <c r="I274" s="7" t="s">
        <v>2284</v>
      </c>
      <c r="K274" s="7" t="s">
        <v>2285</v>
      </c>
    </row>
    <row r="275" spans="1:11" ht="35.25" customHeight="1">
      <c r="A275" s="16">
        <v>46079</v>
      </c>
      <c r="B275" s="7" t="s">
        <v>546</v>
      </c>
      <c r="C275" s="7" t="s">
        <v>2116</v>
      </c>
      <c r="D275" s="7" t="s">
        <v>66</v>
      </c>
      <c r="E275" s="7">
        <v>41</v>
      </c>
      <c r="F275" s="7" t="s">
        <v>2115</v>
      </c>
      <c r="G275" s="7">
        <v>18080262339</v>
      </c>
      <c r="I275" s="7" t="s">
        <v>112</v>
      </c>
      <c r="K275" s="7" t="s">
        <v>2287</v>
      </c>
    </row>
    <row r="276" spans="1:11" ht="35.25" customHeight="1">
      <c r="A276" s="16">
        <v>46079</v>
      </c>
      <c r="B276" s="7" t="s">
        <v>2253</v>
      </c>
      <c r="C276" s="7" t="s">
        <v>2291</v>
      </c>
      <c r="D276" s="7" t="s">
        <v>2286</v>
      </c>
      <c r="E276" s="7">
        <v>53</v>
      </c>
      <c r="F276" s="7" t="s">
        <v>2288</v>
      </c>
      <c r="G276" s="7">
        <v>15881650228</v>
      </c>
      <c r="I276" s="7" t="s">
        <v>2289</v>
      </c>
      <c r="K276" s="7" t="s">
        <v>2290</v>
      </c>
    </row>
    <row r="277" spans="1:11" ht="35.25" customHeight="1">
      <c r="A277" s="16">
        <v>46079</v>
      </c>
      <c r="B277" s="7" t="s">
        <v>2296</v>
      </c>
      <c r="C277" s="7" t="s">
        <v>2295</v>
      </c>
      <c r="D277" s="7" t="s">
        <v>2286</v>
      </c>
      <c r="E277" s="7">
        <v>51</v>
      </c>
      <c r="F277" s="7" t="s">
        <v>2294</v>
      </c>
      <c r="G277" s="7">
        <v>13890170157</v>
      </c>
      <c r="I277" s="7" t="s">
        <v>2297</v>
      </c>
      <c r="K277" s="7" t="s">
        <v>2298</v>
      </c>
    </row>
    <row r="278" spans="1:11" ht="35.25" customHeight="1">
      <c r="A278" s="16">
        <v>46080</v>
      </c>
      <c r="B278" s="7" t="s">
        <v>2315</v>
      </c>
      <c r="C278" s="7" t="s">
        <v>2319</v>
      </c>
      <c r="D278" s="7" t="s">
        <v>2316</v>
      </c>
      <c r="E278" s="7">
        <v>50</v>
      </c>
      <c r="G278" s="7">
        <v>13018138593</v>
      </c>
      <c r="I278" s="7" t="s">
        <v>2317</v>
      </c>
      <c r="K278" s="7" t="s">
        <v>2318</v>
      </c>
    </row>
    <row r="279" spans="1:11" ht="35.25" customHeight="1">
      <c r="A279" s="16">
        <v>46080</v>
      </c>
      <c r="B279" s="7" t="s">
        <v>2320</v>
      </c>
      <c r="C279" s="7" t="s">
        <v>2321</v>
      </c>
      <c r="D279" s="7" t="s">
        <v>2322</v>
      </c>
      <c r="E279" s="7">
        <v>39</v>
      </c>
      <c r="F279" s="7" t="s">
        <v>2323</v>
      </c>
      <c r="G279" s="7">
        <v>18281516049</v>
      </c>
      <c r="I279" s="7" t="s">
        <v>2324</v>
      </c>
      <c r="K279" s="7" t="s">
        <v>2325</v>
      </c>
    </row>
    <row r="280" spans="1:11" ht="35.25" customHeight="1">
      <c r="A280" s="16">
        <v>46080</v>
      </c>
      <c r="B280" s="7" t="s">
        <v>2320</v>
      </c>
      <c r="C280" s="7" t="s">
        <v>2326</v>
      </c>
      <c r="D280" s="7" t="s">
        <v>2322</v>
      </c>
      <c r="E280" s="7">
        <v>53</v>
      </c>
      <c r="F280" s="7" t="s">
        <v>2327</v>
      </c>
      <c r="G280" s="7">
        <v>15984418292</v>
      </c>
      <c r="I280" s="7" t="s">
        <v>2324</v>
      </c>
      <c r="K280" s="7" t="s">
        <v>2328</v>
      </c>
    </row>
    <row r="281" spans="1:11" ht="35.25" customHeight="1">
      <c r="A281" s="16">
        <v>46080</v>
      </c>
      <c r="B281" s="7" t="s">
        <v>2320</v>
      </c>
      <c r="C281" s="7" t="s">
        <v>2330</v>
      </c>
      <c r="D281" s="7" t="s">
        <v>2322</v>
      </c>
      <c r="E281" s="7">
        <v>55</v>
      </c>
      <c r="F281" s="7" t="s">
        <v>2323</v>
      </c>
      <c r="G281" s="7">
        <v>13568431209</v>
      </c>
      <c r="I281" s="7" t="s">
        <v>2331</v>
      </c>
      <c r="K281" s="7" t="s">
        <v>2325</v>
      </c>
    </row>
    <row r="282" spans="1:11" ht="35.25" customHeight="1">
      <c r="A282" s="16">
        <v>46081</v>
      </c>
      <c r="B282" s="7" t="s">
        <v>2320</v>
      </c>
      <c r="C282" s="7" t="s">
        <v>2366</v>
      </c>
      <c r="D282" s="7" t="s">
        <v>2367</v>
      </c>
      <c r="E282" s="7">
        <v>50</v>
      </c>
      <c r="G282" s="7">
        <v>17300249539</v>
      </c>
      <c r="I282" s="7" t="s">
        <v>2368</v>
      </c>
      <c r="K282" s="7" t="s">
        <v>2369</v>
      </c>
    </row>
    <row r="283" spans="1:11" ht="35.25" customHeight="1">
      <c r="A283" s="16">
        <v>46080</v>
      </c>
      <c r="B283" s="7" t="s">
        <v>2320</v>
      </c>
      <c r="C283" s="7" t="s">
        <v>2370</v>
      </c>
      <c r="D283" s="7" t="s">
        <v>2367</v>
      </c>
      <c r="E283" s="7">
        <v>47</v>
      </c>
      <c r="G283" s="7">
        <v>15387610868</v>
      </c>
      <c r="I283" s="7" t="s">
        <v>2368</v>
      </c>
      <c r="K283" s="7" t="s">
        <v>2369</v>
      </c>
    </row>
    <row r="284" spans="1:11" ht="35.25" customHeight="1">
      <c r="A284" s="16">
        <v>46080</v>
      </c>
      <c r="B284" s="7" t="s">
        <v>2320</v>
      </c>
    </row>
    <row r="285" spans="1:11" ht="35.25" customHeight="1">
      <c r="A285" s="16">
        <v>46080</v>
      </c>
      <c r="B285" s="7" t="s">
        <v>2320</v>
      </c>
    </row>
  </sheetData>
  <autoFilter ref="A1:K261">
    <filterColumn colId="5"/>
    <filterColumn colId="7"/>
    <filterColumn colId="8"/>
    <filterColumn colId="9"/>
  </autoFilter>
  <phoneticPr fontId="2" type="noConversion"/>
  <conditionalFormatting sqref="C1:C126 C128:C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4"/>
  <sheetViews>
    <sheetView workbookViewId="0">
      <pane ySplit="1" topLeftCell="A17" activePane="bottomLeft" state="frozen"/>
      <selection pane="bottomLeft" activeCell="K23" sqref="K23"/>
    </sheetView>
  </sheetViews>
  <sheetFormatPr defaultColWidth="9" defaultRowHeight="37.5" customHeight="1"/>
  <cols>
    <col min="1" max="1" width="11.625" style="10" customWidth="1"/>
    <col min="2" max="2" width="10.625" style="7" customWidth="1"/>
    <col min="3" max="3" width="11.625" style="7" customWidth="1"/>
    <col min="4" max="4" width="11.5" style="7" customWidth="1"/>
    <col min="5" max="5" width="10.5" style="7" customWidth="1"/>
    <col min="6" max="6" width="9.875" style="7" customWidth="1"/>
    <col min="7" max="7" width="12.625" style="7" customWidth="1"/>
    <col min="8" max="9" width="13.375" style="7" customWidth="1"/>
    <col min="10" max="10" width="14.125" style="7" customWidth="1"/>
    <col min="11" max="11" width="18.625" style="7" customWidth="1"/>
    <col min="12" max="12" width="21.5" style="7" customWidth="1"/>
    <col min="13" max="16384" width="9" style="11"/>
  </cols>
  <sheetData>
    <row r="1" spans="1:12" s="12" customFormat="1" ht="37.5" customHeight="1">
      <c r="A1" s="33" t="s">
        <v>0</v>
      </c>
      <c r="B1" s="4" t="s">
        <v>1</v>
      </c>
      <c r="C1" s="4" t="s">
        <v>2</v>
      </c>
      <c r="D1" s="4" t="s">
        <v>3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13" t="s">
        <v>19</v>
      </c>
      <c r="K1" s="13" t="s">
        <v>20</v>
      </c>
      <c r="L1" s="14" t="s">
        <v>21</v>
      </c>
    </row>
    <row r="2" spans="1:12" ht="37.5" customHeight="1">
      <c r="A2" s="10">
        <v>46000</v>
      </c>
      <c r="B2" s="7" t="s">
        <v>550</v>
      </c>
      <c r="C2" s="7" t="s">
        <v>558</v>
      </c>
      <c r="D2" s="7" t="s">
        <v>559</v>
      </c>
      <c r="E2" s="7" t="s">
        <v>560</v>
      </c>
      <c r="F2" s="7" t="s">
        <v>559</v>
      </c>
      <c r="G2" s="7">
        <v>13980142742</v>
      </c>
      <c r="H2" s="7" t="s">
        <v>561</v>
      </c>
      <c r="I2" s="7" t="s">
        <v>562</v>
      </c>
      <c r="J2" s="7" t="s">
        <v>580</v>
      </c>
      <c r="K2" s="7">
        <v>15228441735</v>
      </c>
      <c r="L2" s="7" t="s">
        <v>581</v>
      </c>
    </row>
    <row r="3" spans="1:12" ht="37.5" customHeight="1">
      <c r="A3" s="10">
        <v>46001</v>
      </c>
      <c r="B3" s="7" t="s">
        <v>600</v>
      </c>
      <c r="C3" s="7" t="s">
        <v>601</v>
      </c>
      <c r="D3" s="7" t="s">
        <v>602</v>
      </c>
      <c r="E3" s="7" t="s">
        <v>603</v>
      </c>
      <c r="F3" s="7" t="s">
        <v>602</v>
      </c>
      <c r="G3" s="7">
        <v>19915301195</v>
      </c>
      <c r="H3" s="7" t="s">
        <v>604</v>
      </c>
      <c r="I3" s="7" t="s">
        <v>599</v>
      </c>
      <c r="J3" s="7" t="s">
        <v>605</v>
      </c>
      <c r="K3" s="7">
        <v>18780529270</v>
      </c>
      <c r="L3" s="7" t="s">
        <v>606</v>
      </c>
    </row>
    <row r="4" spans="1:12" ht="37.5" customHeight="1">
      <c r="A4" s="10">
        <v>46010</v>
      </c>
      <c r="B4" s="9" t="s">
        <v>838</v>
      </c>
      <c r="C4" s="9" t="s">
        <v>778</v>
      </c>
      <c r="D4" s="9" t="s">
        <v>839</v>
      </c>
      <c r="E4" s="9" t="s">
        <v>59</v>
      </c>
      <c r="F4" s="9" t="s">
        <v>1084</v>
      </c>
      <c r="G4" s="7">
        <v>13980529377</v>
      </c>
      <c r="I4" s="9" t="s">
        <v>840</v>
      </c>
      <c r="J4" s="9" t="s">
        <v>841</v>
      </c>
      <c r="K4" s="7">
        <v>15528595182</v>
      </c>
      <c r="L4" s="9" t="s">
        <v>1038</v>
      </c>
    </row>
    <row r="5" spans="1:12" ht="37.5" customHeight="1">
      <c r="A5" s="10">
        <v>46012</v>
      </c>
      <c r="B5" s="7" t="s">
        <v>876</v>
      </c>
      <c r="C5" s="7" t="s">
        <v>782</v>
      </c>
      <c r="E5" s="7" t="s">
        <v>59</v>
      </c>
      <c r="F5" s="7" t="s">
        <v>1085</v>
      </c>
      <c r="G5" s="7">
        <v>13993989039</v>
      </c>
      <c r="H5" s="7" t="s">
        <v>882</v>
      </c>
      <c r="I5" s="7" t="s">
        <v>883</v>
      </c>
      <c r="J5" s="7" t="s">
        <v>884</v>
      </c>
      <c r="K5" s="7">
        <v>15984919804</v>
      </c>
      <c r="L5" s="7" t="s">
        <v>885</v>
      </c>
    </row>
    <row r="6" spans="1:12" ht="37.5" customHeight="1">
      <c r="A6" s="10">
        <v>46017</v>
      </c>
      <c r="B6" s="9" t="s">
        <v>1009</v>
      </c>
      <c r="C6" s="9" t="s">
        <v>1020</v>
      </c>
      <c r="D6" s="9" t="s">
        <v>1021</v>
      </c>
      <c r="E6" s="9" t="s">
        <v>1018</v>
      </c>
      <c r="F6" s="9" t="s">
        <v>1086</v>
      </c>
      <c r="G6" s="7">
        <v>18683678565</v>
      </c>
      <c r="I6" s="9" t="s">
        <v>1034</v>
      </c>
      <c r="J6" s="9" t="s">
        <v>1035</v>
      </c>
      <c r="K6" s="9" t="s">
        <v>1036</v>
      </c>
      <c r="L6" s="9" t="s">
        <v>1037</v>
      </c>
    </row>
    <row r="7" spans="1:12" ht="37.5" customHeight="1">
      <c r="A7" s="10">
        <v>46018</v>
      </c>
      <c r="B7" s="7" t="s">
        <v>1009</v>
      </c>
      <c r="C7" s="7" t="s">
        <v>583</v>
      </c>
      <c r="E7" s="7" t="s">
        <v>1010</v>
      </c>
      <c r="F7" s="7" t="s">
        <v>1015</v>
      </c>
      <c r="G7" s="7">
        <v>15328231957</v>
      </c>
      <c r="H7" s="7" t="s">
        <v>1011</v>
      </c>
      <c r="I7" s="7" t="s">
        <v>1012</v>
      </c>
      <c r="J7" s="7" t="s">
        <v>1013</v>
      </c>
      <c r="K7" s="7">
        <v>15281154499</v>
      </c>
      <c r="L7" s="7" t="s">
        <v>1014</v>
      </c>
    </row>
    <row r="8" spans="1:12" ht="37.5" customHeight="1">
      <c r="A8" s="10">
        <v>46025</v>
      </c>
      <c r="B8" s="9" t="s">
        <v>1168</v>
      </c>
      <c r="C8" s="9" t="s">
        <v>1193</v>
      </c>
      <c r="E8" s="9" t="s">
        <v>1185</v>
      </c>
      <c r="F8" s="9" t="s">
        <v>1194</v>
      </c>
      <c r="G8" s="5">
        <v>13908110463</v>
      </c>
      <c r="H8" s="25" t="s">
        <v>1195</v>
      </c>
      <c r="I8" s="9" t="s">
        <v>1196</v>
      </c>
      <c r="J8" s="9" t="s">
        <v>1198</v>
      </c>
      <c r="K8" s="7">
        <v>15181692235</v>
      </c>
      <c r="L8" s="9" t="s">
        <v>1203</v>
      </c>
    </row>
    <row r="9" spans="1:12" ht="37.5" customHeight="1">
      <c r="A9" s="10">
        <v>46026</v>
      </c>
      <c r="B9" s="9" t="s">
        <v>1168</v>
      </c>
      <c r="C9" s="9" t="s">
        <v>583</v>
      </c>
      <c r="D9" s="41" t="s">
        <v>1137</v>
      </c>
      <c r="E9" s="9" t="s">
        <v>1185</v>
      </c>
      <c r="F9" s="9" t="s">
        <v>1200</v>
      </c>
      <c r="G9" s="7">
        <v>18981152489</v>
      </c>
      <c r="H9" s="9" t="s">
        <v>1201</v>
      </c>
      <c r="I9" s="9" t="s">
        <v>1199</v>
      </c>
      <c r="J9" s="9" t="s">
        <v>1202</v>
      </c>
      <c r="K9" s="7">
        <v>1878412651</v>
      </c>
      <c r="L9" s="9" t="s">
        <v>1203</v>
      </c>
    </row>
    <row r="10" spans="1:12" ht="37.5" customHeight="1">
      <c r="A10" s="10">
        <v>46027</v>
      </c>
      <c r="B10" s="9" t="s">
        <v>1168</v>
      </c>
      <c r="C10" s="9" t="s">
        <v>583</v>
      </c>
      <c r="E10" s="9" t="s">
        <v>1204</v>
      </c>
      <c r="F10" s="9" t="s">
        <v>1246</v>
      </c>
      <c r="G10" s="7">
        <v>13699086276</v>
      </c>
      <c r="H10" s="9" t="s">
        <v>1205</v>
      </c>
      <c r="I10" s="9" t="s">
        <v>1207</v>
      </c>
      <c r="J10" s="9" t="s">
        <v>1208</v>
      </c>
      <c r="K10" s="7">
        <v>19949515152</v>
      </c>
      <c r="L10" s="9" t="s">
        <v>1209</v>
      </c>
    </row>
    <row r="11" spans="1:12" ht="37.5" customHeight="1">
      <c r="A11" s="10">
        <v>46028</v>
      </c>
      <c r="B11" s="7" t="s">
        <v>1240</v>
      </c>
      <c r="C11" s="7" t="s">
        <v>583</v>
      </c>
      <c r="D11" s="7" t="s">
        <v>1247</v>
      </c>
      <c r="E11" s="7" t="s">
        <v>1242</v>
      </c>
      <c r="F11" s="7" t="s">
        <v>1248</v>
      </c>
      <c r="G11" s="7">
        <v>18281589862</v>
      </c>
      <c r="H11" s="7" t="s">
        <v>1249</v>
      </c>
      <c r="I11" s="7" t="s">
        <v>1250</v>
      </c>
      <c r="J11" s="7" t="s">
        <v>1251</v>
      </c>
      <c r="K11" s="7">
        <v>15281128750</v>
      </c>
      <c r="L11" s="7" t="s">
        <v>1252</v>
      </c>
    </row>
    <row r="12" spans="1:12" ht="37.5" customHeight="1">
      <c r="A12" s="10">
        <v>46029</v>
      </c>
      <c r="B12" s="7" t="s">
        <v>1256</v>
      </c>
      <c r="C12" s="7" t="s">
        <v>583</v>
      </c>
      <c r="D12" s="7" t="s">
        <v>1274</v>
      </c>
      <c r="E12" s="7" t="s">
        <v>1270</v>
      </c>
      <c r="F12" s="7" t="s">
        <v>1267</v>
      </c>
      <c r="G12" s="7">
        <v>13911674488</v>
      </c>
      <c r="H12" s="7" t="s">
        <v>1275</v>
      </c>
      <c r="I12" s="7" t="s">
        <v>1276</v>
      </c>
      <c r="J12" s="7" t="s">
        <v>1277</v>
      </c>
      <c r="K12" s="7">
        <v>15884693369</v>
      </c>
      <c r="L12" s="7" t="s">
        <v>1278</v>
      </c>
    </row>
    <row r="13" spans="1:12" ht="37.5" customHeight="1">
      <c r="A13" s="10">
        <v>46031</v>
      </c>
      <c r="B13" s="7" t="s">
        <v>1309</v>
      </c>
      <c r="C13" s="7" t="s">
        <v>583</v>
      </c>
      <c r="D13" s="7" t="s">
        <v>1321</v>
      </c>
      <c r="E13" s="7" t="s">
        <v>1322</v>
      </c>
      <c r="F13" s="7" t="s">
        <v>1323</v>
      </c>
      <c r="G13" s="7">
        <v>18990160393</v>
      </c>
      <c r="H13" s="7" t="s">
        <v>1324</v>
      </c>
      <c r="I13" s="7" t="s">
        <v>1325</v>
      </c>
      <c r="J13" s="7" t="s">
        <v>1326</v>
      </c>
      <c r="K13" s="7" t="s">
        <v>1327</v>
      </c>
      <c r="L13" s="7" t="s">
        <v>1339</v>
      </c>
    </row>
    <row r="14" spans="1:12" ht="37.5" customHeight="1">
      <c r="A14" s="10">
        <v>46032</v>
      </c>
      <c r="B14" s="7" t="s">
        <v>1426</v>
      </c>
      <c r="C14" s="7" t="s">
        <v>583</v>
      </c>
      <c r="D14" s="7" t="s">
        <v>1225</v>
      </c>
      <c r="E14" s="7" t="s">
        <v>285</v>
      </c>
      <c r="F14" s="7" t="s">
        <v>1233</v>
      </c>
      <c r="G14" s="7">
        <v>18990160393</v>
      </c>
      <c r="H14" s="7" t="s">
        <v>1324</v>
      </c>
      <c r="I14" s="7" t="s">
        <v>1325</v>
      </c>
      <c r="J14" s="7" t="s">
        <v>1399</v>
      </c>
      <c r="K14" s="7">
        <v>18780334328</v>
      </c>
      <c r="L14" s="7" t="s">
        <v>1427</v>
      </c>
    </row>
    <row r="15" spans="1:12" ht="37.5" customHeight="1">
      <c r="A15" s="10">
        <v>46033</v>
      </c>
      <c r="B15" s="7" t="s">
        <v>1426</v>
      </c>
      <c r="C15" s="7" t="s">
        <v>583</v>
      </c>
      <c r="D15" s="39" t="s">
        <v>1402</v>
      </c>
      <c r="E15" s="7" t="s">
        <v>1428</v>
      </c>
      <c r="F15" s="7" t="s">
        <v>1429</v>
      </c>
      <c r="G15" s="7">
        <v>19381106705</v>
      </c>
      <c r="H15" s="7" t="s">
        <v>1430</v>
      </c>
      <c r="I15" s="7" t="s">
        <v>1431</v>
      </c>
      <c r="J15" s="7" t="s">
        <v>1432</v>
      </c>
      <c r="K15" s="7">
        <v>13881180545</v>
      </c>
      <c r="L15" s="7" t="s">
        <v>1433</v>
      </c>
    </row>
    <row r="16" spans="1:12" ht="37.5" customHeight="1">
      <c r="A16" s="10">
        <v>46034</v>
      </c>
      <c r="B16" s="7" t="s">
        <v>1454</v>
      </c>
      <c r="C16" s="7" t="s">
        <v>583</v>
      </c>
      <c r="D16" s="7" t="s">
        <v>1449</v>
      </c>
      <c r="E16" s="7" t="s">
        <v>1450</v>
      </c>
      <c r="F16" s="7" t="s">
        <v>1449</v>
      </c>
      <c r="G16" s="7">
        <v>18048601553</v>
      </c>
      <c r="H16" s="7" t="s">
        <v>1451</v>
      </c>
      <c r="I16" s="7" t="s">
        <v>1452</v>
      </c>
      <c r="J16" s="7" t="s">
        <v>1453</v>
      </c>
      <c r="K16" s="7">
        <v>15378210403</v>
      </c>
      <c r="L16" s="7" t="s">
        <v>1455</v>
      </c>
    </row>
    <row r="17" spans="1:12" ht="37.5" customHeight="1">
      <c r="A17" s="10">
        <v>46039</v>
      </c>
      <c r="B17" s="7" t="s">
        <v>1632</v>
      </c>
      <c r="C17" s="7" t="s">
        <v>591</v>
      </c>
      <c r="D17" s="7" t="s">
        <v>1637</v>
      </c>
      <c r="E17" s="7" t="s">
        <v>1634</v>
      </c>
      <c r="F17" s="7" t="s">
        <v>1636</v>
      </c>
      <c r="G17" s="7">
        <v>13541758728</v>
      </c>
      <c r="H17" s="7">
        <v>3536</v>
      </c>
      <c r="I17" s="7" t="s">
        <v>1638</v>
      </c>
      <c r="J17" s="7" t="s">
        <v>294</v>
      </c>
      <c r="K17" s="7">
        <v>18161062577</v>
      </c>
      <c r="L17" s="7" t="s">
        <v>1640</v>
      </c>
    </row>
    <row r="18" spans="1:12" ht="37.5" customHeight="1">
      <c r="A18" s="10">
        <v>46040</v>
      </c>
      <c r="B18" s="7" t="s">
        <v>582</v>
      </c>
      <c r="C18" s="7" t="s">
        <v>591</v>
      </c>
      <c r="D18" s="7" t="s">
        <v>1441</v>
      </c>
      <c r="E18" s="7" t="s">
        <v>59</v>
      </c>
      <c r="F18" s="7" t="s">
        <v>1444</v>
      </c>
      <c r="G18" s="7">
        <v>13541758728</v>
      </c>
      <c r="H18" s="7">
        <v>3536</v>
      </c>
      <c r="I18" s="7" t="s">
        <v>1638</v>
      </c>
      <c r="J18" s="7" t="s">
        <v>1660</v>
      </c>
      <c r="K18" s="7">
        <v>15984919804</v>
      </c>
      <c r="L18" s="7" t="s">
        <v>1661</v>
      </c>
    </row>
    <row r="19" spans="1:12" ht="37.5" customHeight="1">
      <c r="A19" s="10">
        <v>46047</v>
      </c>
      <c r="B19" s="7" t="s">
        <v>1948</v>
      </c>
      <c r="C19" s="7" t="s">
        <v>583</v>
      </c>
      <c r="D19" s="7" t="s">
        <v>1949</v>
      </c>
      <c r="E19" s="7" t="s">
        <v>1950</v>
      </c>
      <c r="F19" s="7" t="s">
        <v>1949</v>
      </c>
      <c r="G19" s="7">
        <v>18280337371</v>
      </c>
      <c r="H19" s="7" t="s">
        <v>1951</v>
      </c>
      <c r="I19" s="7" t="s">
        <v>1952</v>
      </c>
      <c r="J19" s="7" t="s">
        <v>1953</v>
      </c>
      <c r="K19" s="7">
        <v>19960536539</v>
      </c>
      <c r="L19" s="7" t="s">
        <v>1954</v>
      </c>
    </row>
    <row r="20" spans="1:12" ht="37.5" customHeight="1">
      <c r="A20" s="10">
        <v>46051</v>
      </c>
      <c r="B20" s="7" t="s">
        <v>1948</v>
      </c>
      <c r="C20" s="7" t="s">
        <v>1955</v>
      </c>
      <c r="D20" s="7" t="s">
        <v>1956</v>
      </c>
      <c r="E20" s="7" t="s">
        <v>1957</v>
      </c>
      <c r="G20" s="7">
        <v>15281197772</v>
      </c>
      <c r="H20" s="7" t="s">
        <v>1958</v>
      </c>
      <c r="I20" s="7" t="s">
        <v>1959</v>
      </c>
      <c r="J20" s="7" t="s">
        <v>1960</v>
      </c>
      <c r="K20" s="7">
        <v>13881193689</v>
      </c>
      <c r="L20" s="7" t="s">
        <v>1961</v>
      </c>
    </row>
    <row r="21" spans="1:12" ht="37.5" customHeight="1">
      <c r="A21" s="10">
        <v>46054</v>
      </c>
      <c r="B21" s="7" t="s">
        <v>1948</v>
      </c>
      <c r="C21" s="7" t="s">
        <v>583</v>
      </c>
      <c r="D21" s="7" t="s">
        <v>1965</v>
      </c>
      <c r="E21" s="7" t="s">
        <v>1966</v>
      </c>
      <c r="F21" s="7" t="s">
        <v>1964</v>
      </c>
      <c r="G21" s="5">
        <v>13880172393</v>
      </c>
      <c r="H21" s="7" t="s">
        <v>1967</v>
      </c>
      <c r="I21" s="7" t="s">
        <v>1968</v>
      </c>
      <c r="J21" s="7" t="s">
        <v>1969</v>
      </c>
      <c r="K21" s="7">
        <v>15528595182</v>
      </c>
      <c r="L21" s="7" t="s">
        <v>2153</v>
      </c>
    </row>
    <row r="22" spans="1:12" ht="37.5" customHeight="1">
      <c r="A22" s="10">
        <v>46060</v>
      </c>
      <c r="B22" s="7" t="s">
        <v>2121</v>
      </c>
      <c r="C22" s="7" t="s">
        <v>2146</v>
      </c>
      <c r="E22" s="7" t="s">
        <v>2147</v>
      </c>
      <c r="F22" s="7" t="s">
        <v>2148</v>
      </c>
      <c r="G22" s="7">
        <v>13667206122</v>
      </c>
      <c r="H22" s="7" t="s">
        <v>2149</v>
      </c>
      <c r="I22" s="7" t="s">
        <v>2150</v>
      </c>
      <c r="J22" s="7" t="s">
        <v>2151</v>
      </c>
      <c r="K22" s="7">
        <v>17738408500</v>
      </c>
      <c r="L22" s="7" t="s">
        <v>2152</v>
      </c>
    </row>
    <row r="23" spans="1:12" ht="37.5" customHeight="1">
      <c r="A23" s="10">
        <v>46061</v>
      </c>
      <c r="B23" s="7" t="s">
        <v>2188</v>
      </c>
      <c r="C23" s="7" t="s">
        <v>2204</v>
      </c>
      <c r="E23" s="7" t="s">
        <v>2189</v>
      </c>
      <c r="F23" s="7" t="s">
        <v>2205</v>
      </c>
      <c r="G23" s="7">
        <v>15378191533</v>
      </c>
      <c r="H23" s="7" t="s">
        <v>2206</v>
      </c>
      <c r="I23" s="42" t="s">
        <v>2207</v>
      </c>
      <c r="J23" s="7" t="s">
        <v>2209</v>
      </c>
      <c r="K23" s="7" t="s">
        <v>2210</v>
      </c>
      <c r="L23" s="7" t="s">
        <v>2211</v>
      </c>
    </row>
    <row r="24" spans="1:12" ht="37.5" customHeight="1">
      <c r="A24" s="10">
        <v>46062</v>
      </c>
      <c r="B24" s="7" t="s">
        <v>2188</v>
      </c>
      <c r="C24" s="7" t="s">
        <v>2212</v>
      </c>
      <c r="E24" s="7" t="s">
        <v>2213</v>
      </c>
      <c r="F24" s="7" t="s">
        <v>2214</v>
      </c>
      <c r="G24" s="7">
        <v>15281663386</v>
      </c>
      <c r="H24" s="7" t="s">
        <v>2215</v>
      </c>
      <c r="I24" s="7" t="s">
        <v>2216</v>
      </c>
      <c r="J24" s="7" t="s">
        <v>2217</v>
      </c>
      <c r="K24" s="7">
        <v>15196227794</v>
      </c>
      <c r="L24" s="7" t="s">
        <v>2218</v>
      </c>
    </row>
  </sheetData>
  <autoFilter ref="A1:L1"/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W20"/>
  <sheetViews>
    <sheetView topLeftCell="K1" workbookViewId="0">
      <pane ySplit="1" topLeftCell="A2" activePane="bottomLeft" state="frozen"/>
      <selection pane="bottomLeft" activeCell="S16" sqref="S16"/>
    </sheetView>
  </sheetViews>
  <sheetFormatPr defaultColWidth="9" defaultRowHeight="13.5"/>
  <cols>
    <col min="1" max="1" width="12.25" style="34" customWidth="1"/>
    <col min="2" max="2" width="11.875" style="2" customWidth="1"/>
    <col min="3" max="3" width="11.625" style="2" customWidth="1"/>
    <col min="4" max="4" width="8.75" style="2" customWidth="1"/>
    <col min="5" max="5" width="19.375" style="69" customWidth="1"/>
    <col min="6" max="6" width="13.5" style="39" customWidth="1"/>
    <col min="7" max="7" width="24.375" style="2" customWidth="1"/>
    <col min="8" max="8" width="12.625" style="6" customWidth="1"/>
    <col min="9" max="9" width="13.375" style="6" customWidth="1"/>
    <col min="10" max="11" width="13.375" style="5" customWidth="1"/>
    <col min="12" max="12" width="10.25" style="34" customWidth="1"/>
    <col min="13" max="13" width="11.5" style="34" customWidth="1"/>
    <col min="14" max="14" width="9.625" style="34" customWidth="1"/>
    <col min="15" max="15" width="13.375" style="2" customWidth="1"/>
    <col min="16" max="16" width="9.875" style="2" customWidth="1"/>
    <col min="17" max="17" width="6" style="2" bestFit="1" customWidth="1"/>
    <col min="18" max="18" width="13.375" style="2" customWidth="1"/>
    <col min="19" max="19" width="15.75" style="2" customWidth="1"/>
    <col min="20" max="22" width="13.375" style="2" customWidth="1"/>
    <col min="23" max="23" width="27" style="2" customWidth="1"/>
  </cols>
  <sheetData>
    <row r="1" spans="1:23" s="1" customFormat="1" ht="24.95" customHeight="1">
      <c r="A1" s="52" t="s">
        <v>22</v>
      </c>
      <c r="B1" s="3" t="s">
        <v>23</v>
      </c>
      <c r="C1" s="3" t="s">
        <v>24</v>
      </c>
      <c r="D1" s="3" t="s">
        <v>2</v>
      </c>
      <c r="E1" s="68" t="s">
        <v>25</v>
      </c>
      <c r="F1" s="70" t="s">
        <v>1490</v>
      </c>
      <c r="G1" s="3" t="s">
        <v>26</v>
      </c>
      <c r="H1" s="52" t="s">
        <v>27</v>
      </c>
      <c r="I1" s="52" t="s">
        <v>28</v>
      </c>
      <c r="J1" s="3" t="s">
        <v>12</v>
      </c>
      <c r="K1" s="3" t="s">
        <v>29</v>
      </c>
      <c r="L1" s="52" t="s">
        <v>30</v>
      </c>
      <c r="M1" s="52" t="s">
        <v>31</v>
      </c>
      <c r="N1" s="52" t="s">
        <v>32</v>
      </c>
      <c r="O1" s="3" t="s">
        <v>33</v>
      </c>
      <c r="P1" s="3" t="s">
        <v>34</v>
      </c>
      <c r="Q1" s="3" t="s">
        <v>38</v>
      </c>
      <c r="R1" s="3" t="s">
        <v>35</v>
      </c>
      <c r="S1" s="3" t="s">
        <v>36</v>
      </c>
      <c r="T1" s="3" t="s">
        <v>37</v>
      </c>
      <c r="U1" s="3" t="s">
        <v>39</v>
      </c>
      <c r="V1" s="3" t="s">
        <v>40</v>
      </c>
      <c r="W1" s="3" t="s">
        <v>10</v>
      </c>
    </row>
    <row r="2" spans="1:23" ht="24.95" customHeight="1">
      <c r="A2" s="34">
        <v>46003</v>
      </c>
      <c r="B2" s="2" t="s">
        <v>645</v>
      </c>
      <c r="C2" s="2">
        <v>13980142742</v>
      </c>
      <c r="D2" s="2" t="s">
        <v>646</v>
      </c>
      <c r="E2" s="69" t="s">
        <v>647</v>
      </c>
      <c r="F2" s="45" t="s">
        <v>1491</v>
      </c>
      <c r="G2" s="50" t="s">
        <v>1489</v>
      </c>
      <c r="H2" s="6">
        <v>46003</v>
      </c>
      <c r="I2" s="6">
        <v>46367</v>
      </c>
      <c r="J2" s="5" t="s">
        <v>642</v>
      </c>
      <c r="K2" s="5">
        <v>15228441735</v>
      </c>
      <c r="L2" s="34" t="s">
        <v>705</v>
      </c>
      <c r="M2" s="34">
        <v>46012</v>
      </c>
      <c r="N2" s="34">
        <v>46035</v>
      </c>
      <c r="P2" s="2">
        <f>4500+3500</f>
        <v>8000</v>
      </c>
      <c r="Q2" s="2">
        <v>0.8</v>
      </c>
      <c r="R2" s="2">
        <f>3000+4500*0.8</f>
        <v>6600</v>
      </c>
      <c r="S2" s="2" t="s">
        <v>644</v>
      </c>
      <c r="T2" s="2">
        <f>4500*0.8</f>
        <v>3600</v>
      </c>
      <c r="U2" s="2" t="s">
        <v>643</v>
      </c>
    </row>
    <row r="3" spans="1:23" ht="24.95" customHeight="1">
      <c r="A3" s="34">
        <v>46013</v>
      </c>
      <c r="B3" s="2" t="s">
        <v>924</v>
      </c>
      <c r="C3" s="2">
        <v>13993989039</v>
      </c>
      <c r="D3" s="2" t="s">
        <v>925</v>
      </c>
      <c r="E3" s="69" t="s">
        <v>926</v>
      </c>
      <c r="F3" s="45" t="s">
        <v>1491</v>
      </c>
      <c r="G3" s="50" t="s">
        <v>1489</v>
      </c>
      <c r="H3" s="6">
        <v>46014</v>
      </c>
      <c r="I3" s="6">
        <v>46378</v>
      </c>
      <c r="J3" s="5" t="s">
        <v>927</v>
      </c>
      <c r="K3" s="5">
        <v>15984919804</v>
      </c>
      <c r="L3" s="34">
        <v>46025</v>
      </c>
      <c r="M3" s="34">
        <v>46035</v>
      </c>
      <c r="N3" s="34">
        <v>46075</v>
      </c>
      <c r="O3" s="50" t="s">
        <v>2155</v>
      </c>
      <c r="P3" s="2">
        <f>4500+3000</f>
        <v>7500</v>
      </c>
      <c r="Q3" s="2">
        <v>0.9</v>
      </c>
      <c r="R3" s="2">
        <f>3500+4500*0.9</f>
        <v>7550</v>
      </c>
      <c r="S3" s="2">
        <v>3500</v>
      </c>
      <c r="T3" s="2">
        <f>4500*0.9</f>
        <v>4050</v>
      </c>
      <c r="U3" s="2" t="s">
        <v>643</v>
      </c>
    </row>
    <row r="4" spans="1:23" ht="24.95" customHeight="1">
      <c r="A4" s="34">
        <v>46018</v>
      </c>
      <c r="B4" s="2" t="s">
        <v>1015</v>
      </c>
      <c r="C4" s="7">
        <v>15328231957</v>
      </c>
      <c r="D4" s="2" t="s">
        <v>583</v>
      </c>
      <c r="E4" s="7" t="s">
        <v>1011</v>
      </c>
      <c r="F4" s="71" t="s">
        <v>1492</v>
      </c>
      <c r="G4" s="9" t="s">
        <v>1488</v>
      </c>
      <c r="H4" s="6">
        <v>46020</v>
      </c>
      <c r="I4" s="6">
        <v>46109</v>
      </c>
      <c r="J4" s="5" t="s">
        <v>1013</v>
      </c>
      <c r="K4" s="7">
        <v>15281154499</v>
      </c>
      <c r="L4" s="34">
        <v>46031</v>
      </c>
      <c r="M4" s="34">
        <v>46040</v>
      </c>
      <c r="N4" s="34">
        <v>46052</v>
      </c>
      <c r="P4" s="2">
        <f>2300+2000</f>
        <v>4300</v>
      </c>
      <c r="Q4" s="2">
        <v>0.9</v>
      </c>
      <c r="R4" s="2">
        <f>2300*0.9+2200</f>
        <v>4270</v>
      </c>
      <c r="S4" s="49" t="s">
        <v>1016</v>
      </c>
      <c r="T4" s="50">
        <f>2300*0.9</f>
        <v>2070</v>
      </c>
      <c r="U4" s="2" t="s">
        <v>643</v>
      </c>
    </row>
    <row r="5" spans="1:23" ht="24.95" customHeight="1">
      <c r="A5" s="34">
        <v>46022</v>
      </c>
      <c r="B5" s="2" t="s">
        <v>1087</v>
      </c>
      <c r="C5" s="2">
        <v>18184912876</v>
      </c>
      <c r="D5" s="2" t="s">
        <v>1088</v>
      </c>
      <c r="E5" s="69" t="s">
        <v>1089</v>
      </c>
      <c r="F5" s="45" t="s">
        <v>1493</v>
      </c>
      <c r="G5" s="50" t="s">
        <v>1487</v>
      </c>
      <c r="H5" s="6">
        <v>46026</v>
      </c>
      <c r="I5" s="6">
        <v>46390</v>
      </c>
      <c r="J5" s="5" t="s">
        <v>1090</v>
      </c>
      <c r="K5" s="5">
        <v>15892605556</v>
      </c>
      <c r="L5" s="34">
        <v>46026</v>
      </c>
      <c r="O5" s="48"/>
      <c r="P5" s="2">
        <f>4900+4200</f>
        <v>9100</v>
      </c>
      <c r="Q5" s="2">
        <v>0.8</v>
      </c>
      <c r="R5" s="2">
        <v>8120</v>
      </c>
      <c r="S5" s="2" t="s">
        <v>1091</v>
      </c>
      <c r="T5" s="50">
        <f>4900*0.8</f>
        <v>3920</v>
      </c>
      <c r="U5" s="2" t="s">
        <v>643</v>
      </c>
      <c r="W5" s="63" t="s">
        <v>1253</v>
      </c>
    </row>
    <row r="6" spans="1:23" ht="24.95" customHeight="1">
      <c r="A6" s="34">
        <v>46028</v>
      </c>
      <c r="B6" s="50" t="s">
        <v>1248</v>
      </c>
      <c r="C6" s="7">
        <v>18281589862</v>
      </c>
      <c r="D6" s="50" t="s">
        <v>583</v>
      </c>
      <c r="E6" s="63" t="s">
        <v>1254</v>
      </c>
      <c r="F6" s="45" t="s">
        <v>1494</v>
      </c>
      <c r="G6" s="9" t="s">
        <v>1486</v>
      </c>
      <c r="H6" s="6">
        <v>46029</v>
      </c>
      <c r="I6" s="6">
        <v>46393</v>
      </c>
      <c r="J6" s="25" t="s">
        <v>1251</v>
      </c>
      <c r="K6" s="7">
        <v>15281128750</v>
      </c>
      <c r="L6" s="34">
        <v>46029</v>
      </c>
      <c r="M6" s="34">
        <v>46034</v>
      </c>
      <c r="N6" s="34">
        <v>46060</v>
      </c>
      <c r="P6" s="2">
        <f>2800+2000</f>
        <v>4800</v>
      </c>
      <c r="R6" s="2">
        <v>4800</v>
      </c>
      <c r="S6" s="50" t="s">
        <v>1255</v>
      </c>
      <c r="T6" s="2">
        <v>2800</v>
      </c>
      <c r="U6" s="50" t="s">
        <v>643</v>
      </c>
    </row>
    <row r="7" spans="1:23" ht="24.95" customHeight="1">
      <c r="A7" s="34">
        <v>46032</v>
      </c>
      <c r="B7" s="2" t="s">
        <v>1422</v>
      </c>
      <c r="C7" s="2">
        <v>13699086276</v>
      </c>
      <c r="D7" s="2" t="s">
        <v>583</v>
      </c>
      <c r="E7" s="69" t="s">
        <v>1423</v>
      </c>
      <c r="F7" s="45" t="s">
        <v>1493</v>
      </c>
      <c r="G7" s="50" t="s">
        <v>1485</v>
      </c>
      <c r="H7" s="6">
        <v>46039</v>
      </c>
      <c r="I7" s="6">
        <v>46128</v>
      </c>
      <c r="J7" s="5" t="s">
        <v>1424</v>
      </c>
      <c r="K7" s="5">
        <v>19949515152</v>
      </c>
      <c r="L7" s="34">
        <v>46039</v>
      </c>
      <c r="M7" s="34">
        <v>46060</v>
      </c>
      <c r="P7" s="2">
        <f>3200+5000</f>
        <v>8200</v>
      </c>
      <c r="Q7" s="2">
        <v>0.9</v>
      </c>
      <c r="R7" s="2">
        <f>3200*0.9+5000</f>
        <v>7880</v>
      </c>
      <c r="S7" s="2" t="s">
        <v>1425</v>
      </c>
      <c r="T7" s="2">
        <f>3200*0.9</f>
        <v>2880</v>
      </c>
      <c r="U7" s="2" t="s">
        <v>643</v>
      </c>
      <c r="W7" s="2" t="s">
        <v>2154</v>
      </c>
    </row>
    <row r="8" spans="1:23" ht="24.95" customHeight="1">
      <c r="A8" s="34">
        <v>46035</v>
      </c>
      <c r="B8" s="2" t="s">
        <v>1478</v>
      </c>
      <c r="C8" s="2">
        <v>18990160393</v>
      </c>
      <c r="D8" s="2" t="s">
        <v>583</v>
      </c>
      <c r="E8" s="69" t="s">
        <v>1479</v>
      </c>
      <c r="F8" s="45" t="s">
        <v>1494</v>
      </c>
      <c r="G8" s="50" t="s">
        <v>1484</v>
      </c>
      <c r="H8" s="6">
        <v>46058</v>
      </c>
      <c r="I8" s="6">
        <v>46146</v>
      </c>
      <c r="J8" s="25" t="s">
        <v>1480</v>
      </c>
      <c r="K8" s="5">
        <v>18780334328</v>
      </c>
      <c r="L8" s="34">
        <v>46058</v>
      </c>
      <c r="P8" s="2">
        <f>2200+1500</f>
        <v>3700</v>
      </c>
      <c r="R8" s="2">
        <v>3700</v>
      </c>
      <c r="S8" s="50" t="s">
        <v>1481</v>
      </c>
      <c r="T8" s="2">
        <v>1500</v>
      </c>
      <c r="U8" s="50" t="s">
        <v>643</v>
      </c>
    </row>
    <row r="9" spans="1:23" ht="24.95" customHeight="1">
      <c r="A9" s="34">
        <v>46035</v>
      </c>
      <c r="B9" s="50" t="s">
        <v>1482</v>
      </c>
      <c r="C9" s="2">
        <v>18048601553</v>
      </c>
      <c r="D9" s="50" t="s">
        <v>583</v>
      </c>
      <c r="E9" s="63" t="s">
        <v>1483</v>
      </c>
      <c r="F9" s="45" t="s">
        <v>1491</v>
      </c>
      <c r="G9" s="50" t="s">
        <v>1495</v>
      </c>
      <c r="H9" s="6">
        <v>46038</v>
      </c>
      <c r="I9" s="6">
        <v>46401</v>
      </c>
      <c r="J9" s="25" t="s">
        <v>1496</v>
      </c>
      <c r="K9" s="5">
        <v>15378210403</v>
      </c>
      <c r="L9" s="34">
        <v>46037</v>
      </c>
      <c r="M9" s="78" t="s">
        <v>2156</v>
      </c>
      <c r="P9" s="2">
        <f>4700+3300</f>
        <v>8000</v>
      </c>
      <c r="Q9" s="2">
        <v>0.8</v>
      </c>
      <c r="R9" s="2">
        <f>4700*0.8+3300</f>
        <v>7060</v>
      </c>
      <c r="S9" s="50" t="s">
        <v>1497</v>
      </c>
      <c r="T9" s="2">
        <f>4700*0.8</f>
        <v>3760</v>
      </c>
      <c r="U9" s="50" t="s">
        <v>643</v>
      </c>
    </row>
    <row r="10" spans="1:23" ht="24.95" customHeight="1">
      <c r="A10" s="34">
        <v>46036</v>
      </c>
      <c r="B10" s="2" t="s">
        <v>1535</v>
      </c>
      <c r="C10" s="2">
        <v>13981192552</v>
      </c>
      <c r="D10" s="2" t="s">
        <v>591</v>
      </c>
      <c r="E10" s="69" t="s">
        <v>1536</v>
      </c>
      <c r="F10" s="39" t="s">
        <v>1537</v>
      </c>
      <c r="G10" s="2" t="s">
        <v>1538</v>
      </c>
      <c r="H10" s="6">
        <v>46037</v>
      </c>
      <c r="I10" s="6">
        <v>46126</v>
      </c>
      <c r="J10" s="5" t="s">
        <v>1539</v>
      </c>
      <c r="K10" s="5">
        <v>19354026063</v>
      </c>
      <c r="L10" s="34">
        <v>46038</v>
      </c>
      <c r="M10" s="34">
        <v>46052</v>
      </c>
      <c r="N10" s="34">
        <v>46054</v>
      </c>
      <c r="P10" s="2">
        <f>2300+3000</f>
        <v>5300</v>
      </c>
      <c r="R10" s="2">
        <f>2300+3000</f>
        <v>5300</v>
      </c>
      <c r="S10" s="2" t="s">
        <v>1540</v>
      </c>
      <c r="T10" s="2">
        <v>2300</v>
      </c>
      <c r="U10" s="2" t="s">
        <v>1541</v>
      </c>
    </row>
    <row r="11" spans="1:23" ht="24.95" customHeight="1">
      <c r="A11" s="34">
        <v>46052</v>
      </c>
      <c r="B11" s="2" t="s">
        <v>1949</v>
      </c>
      <c r="C11" s="7">
        <v>18280337371</v>
      </c>
      <c r="D11" s="2" t="s">
        <v>583</v>
      </c>
      <c r="E11" s="69" t="s">
        <v>1962</v>
      </c>
      <c r="F11" s="39" t="s">
        <v>1950</v>
      </c>
      <c r="G11" s="2" t="s">
        <v>1952</v>
      </c>
      <c r="H11" s="6">
        <v>46054</v>
      </c>
      <c r="J11" s="5" t="s">
        <v>1953</v>
      </c>
      <c r="K11" s="7">
        <v>19960536539</v>
      </c>
      <c r="L11" s="34">
        <v>46053</v>
      </c>
      <c r="M11" s="34">
        <v>46058</v>
      </c>
      <c r="P11" s="2">
        <v>11800</v>
      </c>
      <c r="R11" s="2">
        <v>11800</v>
      </c>
      <c r="S11" s="2" t="s">
        <v>1963</v>
      </c>
      <c r="T11" s="2">
        <f>11800*0.25</f>
        <v>2950</v>
      </c>
      <c r="U11" s="2" t="s">
        <v>643</v>
      </c>
    </row>
    <row r="12" spans="1:23" ht="24.95" customHeight="1">
      <c r="A12" s="34">
        <v>46062</v>
      </c>
      <c r="B12" s="2" t="s">
        <v>2205</v>
      </c>
      <c r="C12" s="7">
        <v>15378191533</v>
      </c>
      <c r="D12" s="2" t="s">
        <v>2204</v>
      </c>
      <c r="E12" s="69" t="s">
        <v>2219</v>
      </c>
      <c r="F12" s="39" t="s">
        <v>2189</v>
      </c>
      <c r="G12" s="2" t="s">
        <v>2220</v>
      </c>
      <c r="H12" s="6">
        <v>46077</v>
      </c>
      <c r="I12" s="6">
        <v>46257</v>
      </c>
      <c r="J12" s="5" t="s">
        <v>2221</v>
      </c>
      <c r="K12" s="5">
        <v>17308184033</v>
      </c>
      <c r="P12" s="2">
        <f>3200+3300</f>
        <v>6500</v>
      </c>
      <c r="Q12" s="2">
        <v>0.8</v>
      </c>
      <c r="R12" s="2">
        <f>3200*0.8+3300</f>
        <v>5860</v>
      </c>
      <c r="S12" s="2" t="s">
        <v>2222</v>
      </c>
      <c r="T12" s="2">
        <f>3200*0.8</f>
        <v>2560</v>
      </c>
      <c r="U12" s="2" t="s">
        <v>1541</v>
      </c>
    </row>
    <row r="13" spans="1:23" ht="24.95" customHeight="1">
      <c r="A13" s="34">
        <v>46078</v>
      </c>
      <c r="B13" s="2" t="s">
        <v>2275</v>
      </c>
      <c r="C13" s="2">
        <v>13778059831</v>
      </c>
      <c r="D13" s="2" t="s">
        <v>583</v>
      </c>
      <c r="E13" s="69" t="s">
        <v>2313</v>
      </c>
      <c r="F13" s="39" t="s">
        <v>2276</v>
      </c>
      <c r="G13" s="2" t="s">
        <v>2314</v>
      </c>
      <c r="H13" s="6">
        <v>46079</v>
      </c>
      <c r="I13" s="6">
        <v>46259</v>
      </c>
      <c r="J13" s="5" t="s">
        <v>2277</v>
      </c>
      <c r="K13" s="5">
        <v>18190662976</v>
      </c>
      <c r="P13" s="2">
        <f>3700+5000</f>
        <v>8700</v>
      </c>
      <c r="Q13" s="2">
        <v>0.8</v>
      </c>
      <c r="R13" s="2">
        <f>5000+3700*0.8</f>
        <v>7960</v>
      </c>
      <c r="S13" s="2" t="s">
        <v>1425</v>
      </c>
      <c r="T13" s="2">
        <f>3700*0.8</f>
        <v>2960</v>
      </c>
      <c r="U13" s="2" t="s">
        <v>1541</v>
      </c>
    </row>
    <row r="14" spans="1:23" ht="24.95" customHeight="1"/>
    <row r="15" spans="1:23" ht="24.95" customHeight="1"/>
    <row r="16" spans="1:23" ht="24.95" customHeight="1"/>
    <row r="17" ht="24.95" customHeight="1"/>
    <row r="18" ht="24.95" customHeight="1"/>
    <row r="19" ht="24.95" customHeight="1"/>
    <row r="20" ht="24.95" customHeight="1"/>
  </sheetData>
  <phoneticPr fontId="2" type="noConversion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selection activeCell="B14" sqref="B14"/>
    </sheetView>
  </sheetViews>
  <sheetFormatPr defaultRowHeight="20.25" customHeight="1"/>
  <cols>
    <col min="1" max="1" width="12.25" customWidth="1"/>
    <col min="2" max="2" width="80.25" customWidth="1"/>
    <col min="4" max="4" width="11.125" customWidth="1"/>
  </cols>
  <sheetData>
    <row r="1" spans="1:2" ht="20.25" customHeight="1">
      <c r="A1" t="s">
        <v>1263</v>
      </c>
      <c r="B1" t="s">
        <v>1813</v>
      </c>
    </row>
    <row r="4" spans="1:2" ht="20.25" customHeight="1">
      <c r="A4" t="s">
        <v>1814</v>
      </c>
      <c r="B4" t="s">
        <v>1818</v>
      </c>
    </row>
    <row r="5" spans="1:2" ht="20.25" customHeight="1">
      <c r="B5" t="s">
        <v>1817</v>
      </c>
    </row>
    <row r="7" spans="1:2" ht="20.25" customHeight="1">
      <c r="A7" t="s">
        <v>1815</v>
      </c>
      <c r="B7" t="s">
        <v>1816</v>
      </c>
    </row>
    <row r="8" spans="1:2" ht="20.25" customHeight="1">
      <c r="A8" t="s">
        <v>1946</v>
      </c>
      <c r="B8" t="s">
        <v>1947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客户登记表</vt:lpstr>
      <vt:lpstr>阿姨登记表</vt:lpstr>
      <vt:lpstr>已面试客户登记表</vt:lpstr>
      <vt:lpstr>已签客户登记表</vt:lpstr>
      <vt:lpstr>备忘录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2026-03-02T10:08:36Z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9ACF0D3CE67A40A28F83066A21A8E3F7_12</vt:lpwstr>
  </property>
</Properties>
</file>